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6ef4a7508cfaa0/Desktop/Apple Social Media Analytics/"/>
    </mc:Choice>
  </mc:AlternateContent>
  <xr:revisionPtr revIDLastSave="122" documentId="8_{A13C8411-579B-47DC-8E33-FE039AEF55DB}" xr6:coauthVersionLast="47" xr6:coauthVersionMax="47" xr10:uidLastSave="{67B06D1F-20E2-4ECD-8B55-CD765247C5CB}"/>
  <bookViews>
    <workbookView xWindow="-110" yWindow="-110" windowWidth="19420" windowHeight="11500" activeTab="4" xr2:uid="{8E2B6B83-A231-4F93-BE79-6A2C00F6CEC2}"/>
  </bookViews>
  <sheets>
    <sheet name="task 2.1" sheetId="5" r:id="rId1"/>
    <sheet name="task 2.2" sheetId="1" r:id="rId2"/>
    <sheet name="task 2.3.1" sheetId="7" r:id="rId3"/>
    <sheet name="task.2.3.2 " sheetId="4" r:id="rId4"/>
    <sheet name="task2.4" sheetId="2" r:id="rId5"/>
    <sheet name="Posts" sheetId="6" r:id="rId6"/>
  </sheets>
  <definedNames>
    <definedName name="ExternalData_1" localSheetId="5" hidden="1">Posts!$A$1:$L$301</definedName>
  </definedNames>
  <calcPr calcId="191029"/>
  <pivotCaches>
    <pivotCache cacheId="1" r:id="rId7"/>
    <pivotCache cacheId="2" r:id="rId8"/>
    <pivotCache cacheId="11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osts  2_b45a861b-a818-4473-9156-a415bfe03868" name="Posts  2" connection="Query - Posts (2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5" l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K6" i="5"/>
  <c r="K7" i="5"/>
  <c r="K8" i="5"/>
  <c r="H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163C68-B1F1-4CC1-81ED-5B2FA11EA2A4}" keepAlive="1" name="Query - Posts" description="Connection to the 'Posts' query in the workbook." type="5" refreshedVersion="8" background="1" saveData="1">
    <dbPr connection="Provider=Microsoft.Mashup.OleDb.1;Data Source=$Workbook$;Location=Posts;Extended Properties=&quot;&quot;" command="SELECT * FROM [Posts]"/>
  </connection>
  <connection id="2" xr16:uid="{252AD93D-6EE8-4E6A-B662-02C117F0C7E8}" name="Query - Posts (2)" description="Connection to the 'Posts (2)' query in the workbook." type="100" refreshedVersion="8" minRefreshableVersion="5">
    <extLst>
      <ext xmlns:x15="http://schemas.microsoft.com/office/spreadsheetml/2010/11/main" uri="{DE250136-89BD-433C-8126-D09CA5730AF9}">
        <x15:connection id="010d4898-f4ed-4679-a153-cae5026e5ad8"/>
      </ext>
    </extLst>
  </connection>
  <connection id="3" xr16:uid="{861A31D8-8EF2-4A4B-90C0-D63EC35E13A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<sst xmlns="http://schemas.openxmlformats.org/spreadsheetml/2006/main" count="2501" uniqueCount="371">
  <si>
    <t>Row Labels</t>
  </si>
  <si>
    <t>#AppleDesign</t>
  </si>
  <si>
    <t>#AppleEarth</t>
  </si>
  <si>
    <t>#AppleEvent</t>
  </si>
  <si>
    <t>#AppleInnovation</t>
  </si>
  <si>
    <t>#AppleLifestyle</t>
  </si>
  <si>
    <t>#AppleMusic</t>
  </si>
  <si>
    <t>#AppleWatch</t>
  </si>
  <si>
    <t>#AppleWatchUltra2</t>
  </si>
  <si>
    <t>#Health</t>
  </si>
  <si>
    <t>#HealthTech</t>
  </si>
  <si>
    <t>#Innovation</t>
  </si>
  <si>
    <t>#iPadPro</t>
  </si>
  <si>
    <t>#iPhone16</t>
  </si>
  <si>
    <t>#iPhone16Launch</t>
  </si>
  <si>
    <t>#iPhonePhotography</t>
  </si>
  <si>
    <t>#MacBookAirM3</t>
  </si>
  <si>
    <t>#MacBookProM3</t>
  </si>
  <si>
    <t>#ShotOniPhone</t>
  </si>
  <si>
    <t>#Sustainability</t>
  </si>
  <si>
    <t>Grand Total</t>
  </si>
  <si>
    <t>avg click</t>
  </si>
  <si>
    <t>avg  engegement rate</t>
  </si>
  <si>
    <t>PostID</t>
  </si>
  <si>
    <t>Platform</t>
  </si>
  <si>
    <t>Date</t>
  </si>
  <si>
    <t>ContentType</t>
  </si>
  <si>
    <t>Hashtags</t>
  </si>
  <si>
    <t>Likes</t>
  </si>
  <si>
    <t>Shares</t>
  </si>
  <si>
    <t>Comments</t>
  </si>
  <si>
    <t>Clicks</t>
  </si>
  <si>
    <t>Reach</t>
  </si>
  <si>
    <t>Impressions</t>
  </si>
  <si>
    <t>Campaign</t>
  </si>
  <si>
    <t>A1</t>
  </si>
  <si>
    <t>YouTube</t>
  </si>
  <si>
    <t>Image</t>
  </si>
  <si>
    <t>#AppleWatchUltra2,#HealthTech</t>
  </si>
  <si>
    <t>Apple Watch Ultra 2 Launch</t>
  </si>
  <si>
    <t>A2</t>
  </si>
  <si>
    <t>LinkedIn</t>
  </si>
  <si>
    <t>#MacBookAirM3,#AppleInnovation</t>
  </si>
  <si>
    <t>Apple Event September 2025</t>
  </si>
  <si>
    <t>A3</t>
  </si>
  <si>
    <t>Instagram</t>
  </si>
  <si>
    <t>Tweet</t>
  </si>
  <si>
    <t>#AppleDesign,#Innovation</t>
  </si>
  <si>
    <t>Sustainability Awareness Drive</t>
  </si>
  <si>
    <t>A4</t>
  </si>
  <si>
    <t>Video</t>
  </si>
  <si>
    <t>#AppleEvent,#iPadPro</t>
  </si>
  <si>
    <t>iPhone 16 Launch</t>
  </si>
  <si>
    <t>A5</t>
  </si>
  <si>
    <t>A6</t>
  </si>
  <si>
    <t>A7</t>
  </si>
  <si>
    <t>Carousel</t>
  </si>
  <si>
    <t>#AppleMusic,#AppleLifestyle</t>
  </si>
  <si>
    <t>A8</t>
  </si>
  <si>
    <t>#AppleWatch,#Health</t>
  </si>
  <si>
    <t>A9</t>
  </si>
  <si>
    <t>A10</t>
  </si>
  <si>
    <t>Twitter</t>
  </si>
  <si>
    <t>#iPhone16Launch,#AppleEvent</t>
  </si>
  <si>
    <t>A11</t>
  </si>
  <si>
    <t>A12</t>
  </si>
  <si>
    <t>A13</t>
  </si>
  <si>
    <t>MacBook Air M3 Campaign</t>
  </si>
  <si>
    <t>A14</t>
  </si>
  <si>
    <t>A15</t>
  </si>
  <si>
    <t>A16</t>
  </si>
  <si>
    <t>A17</t>
  </si>
  <si>
    <t>#AppleEvent,#iPhone16</t>
  </si>
  <si>
    <t>A18</t>
  </si>
  <si>
    <t>A19</t>
  </si>
  <si>
    <t>A20</t>
  </si>
  <si>
    <t>A21</t>
  </si>
  <si>
    <t>#iPhonePhotography,#ShotOniPhone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</si>
  <si>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</si>
  <si>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</si>
  <si>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</si>
  <si>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</si>
  <si>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</si>
  <si>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</si>
  <si>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</si>
  <si>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</si>
  <si>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</si>
  <si>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</si>
  <si>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</si>
  <si>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</si>
  <si>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</si>
  <si>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</si>
  <si>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</si>
  <si>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</si>
  <si>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</si>
  <si>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</si>
  <si>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</si>
  <si>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</si>
  <si>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</si>
  <si>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</si>
  <si>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</si>
  <si>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</si>
  <si>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</si>
  <si>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</si>
  <si>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</si>
  <si>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</si>
  <si>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</si>
  <si>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</si>
  <si>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</si>
  <si>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</si>
  <si>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</si>
  <si>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</si>
  <si>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</si>
  <si>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</si>
  <si>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</si>
  <si>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</si>
  <si>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</si>
  <si>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</si>
  <si>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</si>
  <si>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</si>
  <si>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</si>
  <si>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</si>
  <si>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</si>
  <si>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</si>
  <si>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</si>
  <si>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</si>
  <si>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</si>
  <si>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</si>
  <si>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</si>
  <si>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</si>
  <si>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</si>
  <si>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</si>
  <si>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</si>
  <si>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</si>
  <si>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</si>
  <si>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</si>
  <si>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#Sustainability,#AppleEarth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</si>
  <si>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</si>
  <si>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</si>
  <si>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</si>
  <si>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</si>
  <si>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</si>
  <si>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</si>
  <si>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</si>
  <si>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</si>
  <si>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</si>
  <si>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</si>
  <si>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</si>
  <si>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</si>
  <si>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</si>
  <si>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</si>
  <si>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</si>
  <si>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</si>
  <si>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</si>
  <si>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</si>
  <si>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</si>
  <si>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</si>
  <si>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</si>
  <si>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</si>
  <si>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</si>
  <si>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</si>
  <si>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</si>
  <si>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</si>
  <si>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</si>
  <si>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</si>
  <si>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</si>
  <si>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</si>
  <si>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</si>
  <si>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</si>
  <si>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</si>
  <si>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</si>
  <si>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</si>
  <si>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</si>
  <si>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</si>
  <si>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</si>
  <si>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</si>
  <si>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</si>
  <si>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</si>
  <si>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</si>
  <si>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</si>
  <si>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</si>
  <si>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</si>
  <si>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</si>
  <si>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</si>
  <si>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</si>
  <si>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</si>
  <si>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</si>
  <si>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</si>
  <si>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</si>
  <si>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</si>
  <si>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</si>
  <si>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</si>
  <si>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</si>
  <si>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</si>
  <si>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</si>
  <si>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</si>
  <si>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</si>
  <si>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</si>
  <si>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</si>
  <si>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</si>
  <si>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</si>
  <si>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</si>
  <si>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</si>
  <si>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</si>
  <si>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</si>
  <si>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</si>
  <si>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</si>
  <si>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</si>
  <si>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</si>
  <si>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</si>
  <si>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</si>
  <si>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</si>
  <si>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</si>
  <si>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</si>
  <si>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</si>
  <si>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</si>
  <si>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</si>
  <si>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</si>
  <si>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</si>
  <si>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</si>
  <si>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</si>
  <si>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</si>
  <si>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</si>
  <si>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</si>
  <si>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</si>
  <si>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</si>
  <si>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</si>
  <si>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</si>
  <si>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</si>
  <si>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</si>
  <si>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</si>
  <si>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</si>
  <si>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</si>
  <si>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</si>
  <si>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</si>
  <si>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</si>
  <si>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</si>
  <si>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</si>
  <si>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</si>
  <si>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</si>
  <si>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</si>
  <si>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</si>
  <si>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</si>
  <si>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</si>
  <si>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</si>
  <si>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</si>
  <si>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</si>
  <si>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</si>
  <si>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</si>
  <si>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</si>
  <si>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</si>
  <si>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</si>
  <si>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</si>
  <si>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</si>
  <si>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</si>
  <si>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</si>
  <si>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</si>
  <si>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</si>
  <si>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</si>
  <si>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</si>
  <si>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</si>
  <si>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</si>
  <si>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</si>
  <si>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</si>
  <si>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</si>
  <si>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</si>
  <si>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</si>
  <si>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</si>
  <si>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</si>
  <si>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</si>
  <si>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</si>
  <si>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</si>
  <si>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</si>
  <si>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</si>
  <si>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</si>
  <si>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</si>
  <si>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</si>
  <si>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</si>
  <si>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</si>
  <si>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</si>
  <si>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</si>
  <si>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</si>
  <si>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</si>
  <si>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</si>
  <si>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</si>
  <si>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</si>
  <si>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</si>
  <si>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</si>
  <si>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</si>
  <si>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</si>
  <si>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</si>
  <si>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</si>
  <si>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</si>
  <si>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</si>
  <si>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</si>
  <si>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</si>
  <si>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</si>
  <si>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</si>
  <si>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</si>
  <si>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</si>
  <si>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</si>
  <si>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</si>
  <si>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</si>
  <si>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</si>
  <si>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</si>
  <si>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</si>
  <si>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</si>
  <si>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</si>
  <si>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</si>
  <si>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</si>
  <si>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</si>
  <si>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</si>
  <si>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</si>
  <si>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</si>
  <si>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</si>
  <si>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</si>
  <si>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</si>
  <si>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</si>
  <si>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</si>
  <si>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</si>
  <si>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</si>
  <si>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</si>
  <si>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</si>
  <si>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</si>
  <si>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</si>
  <si>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</si>
  <si>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</si>
  <si>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</si>
  <si>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</si>
  <si>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</si>
  <si>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</si>
  <si>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</si>
  <si>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</si>
  <si>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</si>
  <si>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</si>
  <si>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</si>
  <si>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</si>
  <si>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</si>
  <si>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</si>
  <si>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</si>
  <si>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</si>
  <si>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</si>
  <si>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</si>
  <si>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</si>
  <si>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</si>
  <si>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</si>
  <si>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</si>
  <si>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</si>
  <si>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</si>
  <si>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</si>
  <si>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</si>
  <si>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</si>
  <si>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</si>
  <si>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</si>
  <si>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</si>
  <si>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</si>
  <si>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</si>
  <si>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</si>
  <si>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engegment rate</t>
  </si>
  <si>
    <t>Platfrom</t>
  </si>
  <si>
    <t xml:space="preserve"> avg engegement rate</t>
  </si>
  <si>
    <t>Sum of Likes</t>
  </si>
  <si>
    <t>Total Sum of Likes</t>
  </si>
  <si>
    <t>Total Sum of Comments</t>
  </si>
  <si>
    <t>Sum of Comments</t>
  </si>
  <si>
    <t>Total Sum of Shares</t>
  </si>
  <si>
    <t>Sum of Shares</t>
  </si>
  <si>
    <t>content type</t>
  </si>
  <si>
    <t xml:space="preserve">platform </t>
  </si>
  <si>
    <t>Calculate average engagement rate per platform:</t>
  </si>
  <si>
    <t>top-performing hashtags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</si>
</sst>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" fontId="0" fillId="0" borderId="0" xfId="0" applyNumberFormat="1"/>
    <xf numFmtId="10" fontId="0" fillId="0" borderId="0" xfId="0" applyNumberFormat="1"/>
    <xf numFmtId="0" fontId="0" fillId="0" borderId="1" xfId="0" applyBorder="1"/>
    <xf numFmtId="2" fontId="0" fillId="0" borderId="1" xfId="1" applyNumberFormat="1" applyFont="1" applyBorder="1"/>
    <xf numFmtId="0" fontId="2" fillId="2" borderId="1" xfId="0" applyFont="1" applyFill="1" applyBorder="1"/>
    <xf numFmtId="0" fontId="0" fillId="0" borderId="0" xfId="0" applyNumberFormat="1"/>
  </cellXfs>
  <cellStyles count="2">
    <cellStyle name="Normal" xfId="0" builtinId="0"/>
    <cellStyle name="Percent" xfId="1" builtinId="5"/>
  </cellStyles>
  <dxfs count="17">
    <dxf>
      <fill>
        <patternFill>
          <bgColor rgb="FF92D05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powerPivotData" Target="model/item.data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emvasanth kadle" refreshedDate="46006.857108449076" backgroundQuery="1" createdVersion="8" refreshedVersion="8" minRefreshableVersion="3" recordCount="0" supportSubquery="1" supportAdvancedDrill="1" xr:uid="{880FF6FD-9B61-458D-968C-ECEA48E9A321}">
  <cacheSource type="external" connectionId="3"/>
  <cacheFields count="2">
    <cacheField name="[Posts  2].[Hashtags].[Hashtags]" caption="Hashtags" numFmtId="0" level="1">
      <sharedItems count="19">
        <s v="#AppleDesign"/>
        <s v="#AppleEarth"/>
        <s v="#AppleEvent"/>
        <s v="#AppleInnovation"/>
        <s v="#AppleLifestyle"/>
        <s v="#AppleMusic"/>
        <s v="#AppleWatch"/>
        <s v="#AppleWatchUltra2"/>
        <s v="#Health"/>
        <s v="#HealthTech"/>
        <s v="#Innovation"/>
        <s v="#iPadPro"/>
        <s v="#iPhone16"/>
        <s v="#iPhone16Launch"/>
        <s v="#iPhonePhotography"/>
        <s v="#MacBookAirM3"/>
        <s v="#MacBookProM3"/>
        <s v="#ShotOniPhone"/>
        <s v="#Sustainability"/>
      </sharedItems>
    </cacheField>
    <cacheField name="[Measures].[Average of avg click]" caption="Average of avg click" numFmtId="0" hierarchy="7" level="32767"/>
  </cacheFields>
  <cacheHierarchies count="10">
    <cacheHierarchy uniqueName="[Posts  2].[Hashtags]" caption="Hashtags" attribute="1" defaultMemberUniqueName="[Posts  2].[Hashtags].[All]" allUniqueName="[Posts  2].[Hashtags].[All]" dimensionUniqueName="[Posts  2]" displayFolder="" count="2" memberValueDatatype="130" unbalanced="0">
      <fieldsUsage count="2">
        <fieldUsage x="-1"/>
        <fieldUsage x="0"/>
      </fieldsUsage>
    </cacheHierarchy>
    <cacheHierarchy uniqueName="[Posts  2].[post count]" caption="post count" attribute="1" defaultMemberUniqueName="[Posts  2].[post count].[All]" allUniqueName="[Posts  2].[post count].[All]" dimensionUniqueName="[Posts  2]" displayFolder="" count="0" memberValueDatatype="20" unbalanced="0"/>
    <cacheHierarchy uniqueName="[Posts  2].[avg click]" caption="avg click" attribute="1" defaultMemberUniqueName="[Posts  2].[avg click].[All]" allUniqueName="[Posts  2].[avg click].[All]" dimensionUniqueName="[Posts  2]" displayFolder="" count="0" memberValueDatatype="5" unbalanced="0"/>
    <cacheHierarchy uniqueName="[Posts  2].[avg  engegement rate]" caption="avg  engegement rate" attribute="1" defaultMemberUniqueName="[Posts  2].[avg  engegement rate].[All]" allUniqueName="[Posts  2].[avg  engegement rate].[All]" dimensionUniqueName="[Posts  2]" displayFolder="" count="0" memberValueDatatype="5" unbalanced="0"/>
    <cacheHierarchy uniqueName="[Measures].[__XL_Count Posts  2]" caption="__XL_Count Posts  2" measure="1" displayFolder="" measureGroup="Posts  2" count="0" hidden="1"/>
    <cacheHierarchy uniqueName="[Measures].[__No measures defined]" caption="__No measures defined" measure="1" displayFolder="" count="0" hidden="1"/>
    <cacheHierarchy uniqueName="[Measures].[Sum of avg click]" caption="Sum of avg click" measure="1" displayFolder="" measureGroup="Posts  2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avg click]" caption="Average of avg click" measure="1" displayFolder="" measureGroup="Posts  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avg  engegement rate]" caption="Sum of avg  engegement rate" measure="1" displayFolder="" measureGroup="Posts  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avg  engegement rate]" caption="Average of avg  engegement rate" measure="1" displayFolder="" measureGroup="Posts  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Posts  2" uniqueName="[Posts  2]" caption="Posts  2"/>
  </dimensions>
  <measureGroups count="1">
    <measureGroup name="Posts  2" caption="Posts  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emvasanth kadle" refreshedDate="46006.872136574071" createdVersion="8" refreshedVersion="8" minRefreshableVersion="3" recordCount="300" xr:uid="{3C3237EE-1B56-4D40-BC9E-B9A0AD787482}">
  <cacheSource type="worksheet">
    <worksheetSource name="Posts"/>
  </cacheSource>
  <cacheFields count="12">
    <cacheField name="PostID" numFmtId="0">
      <sharedItems/>
    </cacheField>
    <cacheField name="Platform" numFmtId="0">
      <sharedItems count="4">
        <s v="YouTube"/>
        <s v="LinkedIn"/>
        <s v="Instagram"/>
        <s v="Twitter"/>
      </sharedItems>
    </cacheField>
    <cacheField name="Date" numFmtId="14">
      <sharedItems containsSemiMixedTypes="0" containsNonDate="0" containsDate="1" containsString="0" minDate="2024-06-01T00:00:00" maxDate="2025-10-16T00:00:00"/>
    </cacheField>
    <cacheField name="ContentType" numFmtId="0">
      <sharedItems count="4">
        <s v="Image"/>
        <s v="Tweet"/>
        <s v="Video"/>
        <s v="Carousel"/>
      </sharedItems>
    </cacheField>
    <cacheField name="Hashtags" numFmtId="0">
      <sharedItems/>
    </cacheField>
    <cacheField name="Likes" numFmtId="0">
      <sharedItems containsSemiMixedTypes="0" containsString="0" containsNumber="1" containsInteger="1" minValue="2009" maxValue="24984" count="296">
        <n v="24516"/>
        <n v="4779"/>
        <n v="19308"/>
        <n v="3581"/>
        <n v="21708"/>
        <n v="14677"/>
        <n v="7713"/>
        <n v="18639"/>
        <n v="6804"/>
        <n v="20222"/>
        <n v="12136"/>
        <n v="2009"/>
        <n v="21255"/>
        <n v="7124"/>
        <n v="3015"/>
        <n v="4193"/>
        <n v="10415"/>
        <n v="15550"/>
        <n v="16512"/>
        <n v="6158"/>
        <n v="22309"/>
        <n v="8970"/>
        <n v="8938"/>
        <n v="23168"/>
        <n v="15772"/>
        <n v="22384"/>
        <n v="20017"/>
        <n v="12344"/>
        <n v="9266"/>
        <n v="10702"/>
        <n v="2384"/>
        <n v="2404"/>
        <n v="10175"/>
        <n v="17158"/>
        <n v="14763"/>
        <n v="20384"/>
        <n v="11860"/>
        <n v="7989"/>
        <n v="17106"/>
        <n v="19844"/>
        <n v="5636"/>
        <n v="12916"/>
        <n v="6809"/>
        <n v="22562"/>
        <n v="15456"/>
        <n v="17444"/>
        <n v="24984"/>
        <n v="7997"/>
        <n v="4048"/>
        <n v="14338"/>
        <n v="23164"/>
        <n v="19100"/>
        <n v="23949"/>
        <n v="6544"/>
        <n v="6976"/>
        <n v="14775"/>
        <n v="12015"/>
        <n v="5419"/>
        <n v="16430"/>
        <n v="9239"/>
        <n v="16489"/>
        <n v="18633"/>
        <n v="12357"/>
        <n v="19154"/>
        <n v="6363"/>
        <n v="12176"/>
        <n v="19461"/>
        <n v="10427"/>
        <n v="10580"/>
        <n v="6858"/>
        <n v="12040"/>
        <n v="24928"/>
        <n v="23103"/>
        <n v="21198"/>
        <n v="21758"/>
        <n v="17254"/>
        <n v="13470"/>
        <n v="3252"/>
        <n v="8996"/>
        <n v="14173"/>
        <n v="6673"/>
        <n v="22914"/>
        <n v="17781"/>
        <n v="15051"/>
        <n v="8881"/>
        <n v="8949"/>
        <n v="11521"/>
        <n v="24625"/>
        <n v="10017"/>
        <n v="8941"/>
        <n v="12209"/>
        <n v="19715"/>
        <n v="22645"/>
        <n v="11550"/>
        <n v="23499"/>
        <n v="6637"/>
        <n v="6854"/>
        <n v="21561"/>
        <n v="12320"/>
        <n v="20564"/>
        <n v="6892"/>
        <n v="9043"/>
        <n v="18521"/>
        <n v="24711"/>
        <n v="21856"/>
        <n v="23833"/>
        <n v="21216"/>
        <n v="21963"/>
        <n v="24355"/>
        <n v="6164"/>
        <n v="9941"/>
        <n v="16388"/>
        <n v="7569"/>
        <n v="6300"/>
        <n v="8269"/>
        <n v="5818"/>
        <n v="14015"/>
        <n v="14234"/>
        <n v="20290"/>
        <n v="8254"/>
        <n v="19144"/>
        <n v="9350"/>
        <n v="17183"/>
        <n v="8238"/>
        <n v="8090"/>
        <n v="13637"/>
        <n v="24415"/>
        <n v="14647"/>
        <n v="11911"/>
        <n v="10472"/>
        <n v="20271"/>
        <n v="5266"/>
        <n v="2666"/>
        <n v="6188"/>
        <n v="19055"/>
        <n v="12161"/>
        <n v="13314"/>
        <n v="23508"/>
        <n v="23969"/>
        <n v="14891"/>
        <n v="6777"/>
        <n v="5900"/>
        <n v="15716"/>
        <n v="8981"/>
        <n v="8376"/>
        <n v="18907"/>
        <n v="20777"/>
        <n v="20977"/>
        <n v="12160"/>
        <n v="16124"/>
        <n v="18282"/>
        <n v="12488"/>
        <n v="24574"/>
        <n v="7240"/>
        <n v="12453"/>
        <n v="12478"/>
        <n v="24877"/>
        <n v="14394"/>
        <n v="21262"/>
        <n v="22527"/>
        <n v="22028"/>
        <n v="6432"/>
        <n v="15568"/>
        <n v="16178"/>
        <n v="19660"/>
        <n v="24195"/>
        <n v="2302"/>
        <n v="19022"/>
        <n v="2055"/>
        <n v="15013"/>
        <n v="10717"/>
        <n v="10150"/>
        <n v="4125"/>
        <n v="13479"/>
        <n v="17745"/>
        <n v="18748"/>
        <n v="8809"/>
        <n v="6621"/>
        <n v="17034"/>
        <n v="15623"/>
        <n v="7126"/>
        <n v="7122"/>
        <n v="20030"/>
        <n v="19302"/>
        <n v="21181"/>
        <n v="24890"/>
        <n v="7870"/>
        <n v="3531"/>
        <n v="10172"/>
        <n v="21729"/>
        <n v="9673"/>
        <n v="8882"/>
        <n v="3906"/>
        <n v="5086"/>
        <n v="15503"/>
        <n v="10152"/>
        <n v="7750"/>
        <n v="14772"/>
        <n v="12267"/>
        <n v="3062"/>
        <n v="20360"/>
        <n v="19680"/>
        <n v="8229"/>
        <n v="18509"/>
        <n v="17147"/>
        <n v="6632"/>
        <n v="8288"/>
        <n v="5596"/>
        <n v="13475"/>
        <n v="8168"/>
        <n v="11795"/>
        <n v="9561"/>
        <n v="10258"/>
        <n v="18616"/>
        <n v="8371"/>
        <n v="22590"/>
        <n v="16369"/>
        <n v="14910"/>
        <n v="9943"/>
        <n v="14199"/>
        <n v="17728"/>
        <n v="8738"/>
        <n v="17913"/>
        <n v="4472"/>
        <n v="21123"/>
        <n v="23785"/>
        <n v="17679"/>
        <n v="3761"/>
        <n v="12167"/>
        <n v="12554"/>
        <n v="19260"/>
        <n v="16277"/>
        <n v="5812"/>
        <n v="20117"/>
        <n v="3605"/>
        <n v="7622"/>
        <n v="8767"/>
        <n v="13613"/>
        <n v="21901"/>
        <n v="12589"/>
        <n v="15918"/>
        <n v="22119"/>
        <n v="15046"/>
        <n v="4590"/>
        <n v="19447"/>
        <n v="6324"/>
        <n v="12787"/>
        <n v="11111"/>
        <n v="7342"/>
        <n v="18389"/>
        <n v="10659"/>
        <n v="16043"/>
        <n v="24350"/>
        <n v="10837"/>
        <n v="2117"/>
        <n v="15917"/>
        <n v="20935"/>
        <n v="16309"/>
        <n v="15234"/>
        <n v="7560"/>
        <n v="22673"/>
        <n v="2846"/>
        <n v="12954"/>
        <n v="15703"/>
        <n v="17385"/>
        <n v="15746"/>
        <n v="24700"/>
        <n v="8469"/>
        <n v="11333"/>
        <n v="18608"/>
        <n v="14819"/>
        <n v="6208"/>
        <n v="8283"/>
        <n v="8233"/>
        <n v="14941"/>
        <n v="14607"/>
        <n v="11765"/>
        <n v="3828"/>
        <n v="3917"/>
        <n v="22618"/>
        <n v="8988"/>
        <n v="20410"/>
        <n v="16594"/>
        <n v="22128"/>
        <n v="14977"/>
        <n v="18644"/>
        <n v="24422"/>
        <n v="11865"/>
        <n v="4219"/>
        <n v="9041"/>
        <n v="20444"/>
        <n v="7287"/>
        <n v="3619"/>
        <n v="10512"/>
        <n v="3342"/>
        <n v="12568"/>
      </sharedItems>
    </cacheField>
    <cacheField name="Shares" numFmtId="0">
      <sharedItems containsSemiMixedTypes="0" containsString="0" containsNumber="1" containsInteger="1" minValue="203" maxValue="1487"/>
    </cacheField>
    <cacheField name="Comments" numFmtId="0">
      <sharedItems containsSemiMixedTypes="0" containsString="0" containsNumber="1" containsInteger="1" minValue="152" maxValue="999"/>
    </cacheField>
    <cacheField name="Clicks" numFmtId="0">
      <sharedItems containsSemiMixedTypes="0" containsString="0" containsNumber="1" containsInteger="1" minValue="301" maxValue="2936"/>
    </cacheField>
    <cacheField name="Reach" numFmtId="0">
      <sharedItems containsSemiMixedTypes="0" containsString="0" containsNumber="1" containsInteger="1" minValue="7" maxValue="97772"/>
    </cacheField>
    <cacheField name="Impressions" numFmtId="0">
      <sharedItems containsSemiMixedTypes="0" containsString="0" containsNumber="1" containsInteger="1" minValue="40281" maxValue="249988"/>
    </cacheField>
    <cacheField name="Campaig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emvasanth kadle" refreshedDate="46009.892048379632" backgroundQuery="1" createdVersion="8" refreshedVersion="8" minRefreshableVersion="3" recordCount="0" supportSubquery="1" supportAdvancedDrill="1" xr:uid="{1420E77E-2098-459F-AE47-05CE0050AB80}">
  <cacheSource type="external" connectionId="3"/>
  <cacheFields count="2">
    <cacheField name="[Posts  2].[Hashtags].[Hashtags]" caption="Hashtags" numFmtId="0" level="1">
      <sharedItems count="19">
        <s v="#AppleDesign"/>
        <s v="#AppleEarth"/>
        <s v="#AppleEvent"/>
        <s v="#AppleInnovation"/>
        <s v="#AppleLifestyle"/>
        <s v="#AppleMusic"/>
        <s v="#AppleWatch"/>
        <s v="#AppleWatchUltra2"/>
        <s v="#Health"/>
        <s v="#HealthTech"/>
        <s v="#Innovation"/>
        <s v="#iPadPro"/>
        <s v="#iPhone16"/>
        <s v="#iPhone16Launch"/>
        <s v="#iPhonePhotography"/>
        <s v="#MacBookAirM3"/>
        <s v="#MacBookProM3"/>
        <s v="#ShotOniPhone"/>
        <s v="#Sustainability"/>
      </sharedItems>
    </cacheField>
    <cacheField name="[Measures].[Average of avg  engegement rate]" caption="Average of avg  engegement rate" numFmtId="0" hierarchy="9" level="32767"/>
  </cacheFields>
  <cacheHierarchies count="10">
    <cacheHierarchy uniqueName="[Posts  2].[Hashtags]" caption="Hashtags" attribute="1" defaultMemberUniqueName="[Posts  2].[Hashtags].[All]" allUniqueName="[Posts  2].[Hashtags].[All]" dimensionUniqueName="[Posts  2]" displayFolder="" count="2" memberValueDatatype="130" unbalanced="0">
      <fieldsUsage count="2">
        <fieldUsage x="-1"/>
        <fieldUsage x="0"/>
      </fieldsUsage>
    </cacheHierarchy>
    <cacheHierarchy uniqueName="[Posts  2].[post count]" caption="post count" attribute="1" defaultMemberUniqueName="[Posts  2].[post count].[All]" allUniqueName="[Posts  2].[post count].[All]" dimensionUniqueName="[Posts  2]" displayFolder="" count="0" memberValueDatatype="20" unbalanced="0"/>
    <cacheHierarchy uniqueName="[Posts  2].[avg click]" caption="avg click" attribute="1" defaultMemberUniqueName="[Posts  2].[avg click].[All]" allUniqueName="[Posts  2].[avg click].[All]" dimensionUniqueName="[Posts  2]" displayFolder="" count="0" memberValueDatatype="5" unbalanced="0"/>
    <cacheHierarchy uniqueName="[Posts  2].[avg  engegement rate]" caption="avg  engegement rate" attribute="1" defaultMemberUniqueName="[Posts  2].[avg  engegement rate].[All]" allUniqueName="[Posts  2].[avg  engegement rate].[All]" dimensionUniqueName="[Posts  2]" displayFolder="" count="0" memberValueDatatype="5" unbalanced="0"/>
    <cacheHierarchy uniqueName="[Measures].[__XL_Count Posts  2]" caption="__XL_Count Posts  2" measure="1" displayFolder="" measureGroup="Posts  2" count="0" hidden="1"/>
    <cacheHierarchy uniqueName="[Measures].[__No measures defined]" caption="__No measures defined" measure="1" displayFolder="" count="0" hidden="1"/>
    <cacheHierarchy uniqueName="[Measures].[Sum of avg click]" caption="Sum of avg click" measure="1" displayFolder="" measureGroup="Posts  2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avg click]" caption="Average of avg click" measure="1" displayFolder="" measureGroup="Posts  2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avg  engegement rate]" caption="Sum of avg  engegement rate" measure="1" displayFolder="" measureGroup="Posts  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avg  engegement rate]" caption="Average of avg  engegement rate" measure="1" displayFolder="" measureGroup="Posts  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Posts  2" uniqueName="[Posts  2]" caption="Posts  2"/>
  </dimensions>
  <measureGroups count="1">
    <measureGroup name="Posts  2" caption="Posts  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A1"/>
    <x v="0"/>
    <d v="2024-12-23T00:00:00"/>
    <x v="0"/>
    <s v="#AppleWatchUltra2,#HealthTech"/>
    <x v="0"/>
    <n v="976"/>
    <n v="974"/>
    <n v="2675"/>
    <n v="23275"/>
    <n v="202932"/>
    <s v="Apple Watch Ultra 2 Launch"/>
  </r>
  <r>
    <s v="A2"/>
    <x v="1"/>
    <d v="2025-09-03T00:00:00"/>
    <x v="0"/>
    <s v="#MacBookAirM3,#AppleInnovation"/>
    <x v="1"/>
    <n v="1110"/>
    <n v="436"/>
    <n v="1574"/>
    <n v="77167"/>
    <n v="71585"/>
    <s v="Apple Event September 2025"/>
  </r>
  <r>
    <s v="A3"/>
    <x v="2"/>
    <d v="2025-05-12T00:00:00"/>
    <x v="1"/>
    <s v="#AppleDesign,#Innovation"/>
    <x v="2"/>
    <n v="1318"/>
    <n v="795"/>
    <n v="1499"/>
    <n v="52307"/>
    <n v="193087"/>
    <s v="Sustainability Awareness Drive"/>
  </r>
  <r>
    <s v="A4"/>
    <x v="0"/>
    <d v="2024-08-12T00:00:00"/>
    <x v="2"/>
    <s v="#AppleEvent,#iPadPro"/>
    <x v="3"/>
    <n v="517"/>
    <n v="880"/>
    <n v="1925"/>
    <n v="18636"/>
    <n v="248611"/>
    <s v="iPhone 16 Launch"/>
  </r>
  <r>
    <s v="A5"/>
    <x v="0"/>
    <d v="2025-09-04T00:00:00"/>
    <x v="2"/>
    <s v="#AppleWatchUltra2,#HealthTech"/>
    <x v="4"/>
    <n v="435"/>
    <n v="317"/>
    <n v="1213"/>
    <n v="70701"/>
    <n v="83585"/>
    <s v="Apple Event September 2025"/>
  </r>
  <r>
    <s v="A6"/>
    <x v="1"/>
    <d v="2025-09-05T00:00:00"/>
    <x v="0"/>
    <s v="#ShotOniPhone"/>
    <x v="5"/>
    <n v="533"/>
    <n v="759"/>
    <n v="753"/>
    <n v="23275"/>
    <n v="66958"/>
    <s v="Apple Event September 2025"/>
  </r>
  <r>
    <s v="A7"/>
    <x v="2"/>
    <d v="2024-06-24T00:00:00"/>
    <x v="3"/>
    <s v="#AppleMusic,#AppleLifestyle"/>
    <x v="6"/>
    <n v="575"/>
    <n v="417"/>
    <n v="336"/>
    <n v="61660"/>
    <n v="66017"/>
    <s v="iPhone 16 Launch"/>
  </r>
  <r>
    <s v="A8"/>
    <x v="2"/>
    <d v="2024-07-13T00:00:00"/>
    <x v="2"/>
    <s v="#AppleWatch,#Health"/>
    <x v="7"/>
    <n v="1360"/>
    <n v="898"/>
    <n v="2011"/>
    <n v="42841"/>
    <n v="247779"/>
    <s v="iPhone 16 Launch"/>
  </r>
  <r>
    <s v="A9"/>
    <x v="0"/>
    <d v="2024-08-30T00:00:00"/>
    <x v="3"/>
    <s v="#MacBookAirM3,#AppleInnovation"/>
    <x v="8"/>
    <n v="787"/>
    <n v="970"/>
    <n v="1095"/>
    <n v="56343"/>
    <n v="164677"/>
    <s v="Apple Watch Ultra 2 Launch"/>
  </r>
  <r>
    <s v="A10"/>
    <x v="3"/>
    <d v="2025-03-11T00:00:00"/>
    <x v="2"/>
    <s v="#iPhone16Launch,#AppleEvent"/>
    <x v="9"/>
    <n v="712"/>
    <n v="604"/>
    <n v="1272"/>
    <n v="71598"/>
    <n v="216422"/>
    <s v="Sustainability Awareness Drive"/>
  </r>
  <r>
    <s v="A11"/>
    <x v="0"/>
    <d v="2025-02-02T00:00:00"/>
    <x v="3"/>
    <s v="#AppleEvent,#iPadPro"/>
    <x v="10"/>
    <n v="1117"/>
    <n v="834"/>
    <n v="892"/>
    <n v="24675"/>
    <n v="183273"/>
    <s v="Sustainability Awareness Drive"/>
  </r>
  <r>
    <s v="A12"/>
    <x v="0"/>
    <d v="2024-07-21T00:00:00"/>
    <x v="1"/>
    <s v="#MacBookAirM3,#AppleInnovation"/>
    <x v="11"/>
    <n v="1072"/>
    <n v="550"/>
    <n v="1437"/>
    <n v="22982"/>
    <n v="69426"/>
    <s v="iPhone 16 Launch"/>
  </r>
  <r>
    <s v="A13"/>
    <x v="0"/>
    <d v="2024-11-18T00:00:00"/>
    <x v="3"/>
    <s v="#AppleMusic,#AppleLifestyle"/>
    <x v="12"/>
    <n v="1452"/>
    <n v="625"/>
    <n v="1624"/>
    <n v="21282"/>
    <n v="57778"/>
    <s v="MacBook Air M3 Campaign"/>
  </r>
  <r>
    <s v="A14"/>
    <x v="0"/>
    <d v="2025-09-06T00:00:00"/>
    <x v="1"/>
    <s v="#AppleWatch,#Health"/>
    <x v="13"/>
    <n v="469"/>
    <n v="851"/>
    <n v="2571"/>
    <n v="33802"/>
    <n v="216313"/>
    <s v="Apple Event September 2025"/>
  </r>
  <r>
    <s v="A15"/>
    <x v="1"/>
    <d v="2025-09-07T00:00:00"/>
    <x v="1"/>
    <s v="#AppleDesign,#Innovation"/>
    <x v="14"/>
    <n v="997"/>
    <n v="783"/>
    <n v="617"/>
    <n v="77167"/>
    <n v="82229"/>
    <s v="Apple Event September 2025"/>
  </r>
  <r>
    <s v="A16"/>
    <x v="2"/>
    <d v="2024-08-26T00:00:00"/>
    <x v="3"/>
    <s v="#AppleWatch,#Health"/>
    <x v="15"/>
    <n v="924"/>
    <n v="707"/>
    <n v="2696"/>
    <n v="55075"/>
    <n v="126652"/>
    <s v="iPhone 16 Launch"/>
  </r>
  <r>
    <s v="A17"/>
    <x v="1"/>
    <d v="2025-05-05T00:00:00"/>
    <x v="1"/>
    <s v="#AppleEvent,#iPhone16"/>
    <x v="16"/>
    <n v="1388"/>
    <n v="725"/>
    <n v="2462"/>
    <n v="53082"/>
    <n v="168267"/>
    <s v="MacBook Air M3 Campaign"/>
  </r>
  <r>
    <s v="A18"/>
    <x v="1"/>
    <d v="2024-08-19T00:00:00"/>
    <x v="0"/>
    <s v="#AppleWatch,#Health"/>
    <x v="17"/>
    <n v="204"/>
    <n v="279"/>
    <n v="1646"/>
    <n v="35819"/>
    <n v="219436"/>
    <s v="Apple Watch Ultra 2 Launch"/>
  </r>
  <r>
    <s v="A19"/>
    <x v="1"/>
    <d v="2024-06-23T00:00:00"/>
    <x v="1"/>
    <s v="#AppleEvent,#iPhone16"/>
    <x v="18"/>
    <n v="1050"/>
    <n v="971"/>
    <n v="1891"/>
    <n v="15865"/>
    <n v="166503"/>
    <s v="iPhone 16 Launch"/>
  </r>
  <r>
    <s v="A20"/>
    <x v="0"/>
    <d v="2024-09-09T00:00:00"/>
    <x v="2"/>
    <s v="#AppleDesign,#Innovation"/>
    <x v="19"/>
    <n v="277"/>
    <n v="512"/>
    <n v="2189"/>
    <n v="76881"/>
    <n v="124878"/>
    <s v="iPhone 16 Launch"/>
  </r>
  <r>
    <s v="A21"/>
    <x v="3"/>
    <d v="2025-09-08T00:00:00"/>
    <x v="3"/>
    <s v="#iPhonePhotography,#ShotOniPhone"/>
    <x v="20"/>
    <n v="773"/>
    <n v="854"/>
    <n v="2387"/>
    <n v="72396"/>
    <n v="97056"/>
    <s v="Apple Event September 2025"/>
  </r>
  <r>
    <s v="A22"/>
    <x v="2"/>
    <d v="2025-02-27T00:00:00"/>
    <x v="0"/>
    <s v="#AppleMusic,#AppleLifestyle"/>
    <x v="21"/>
    <n v="331"/>
    <n v="968"/>
    <n v="2296"/>
    <n v="24613"/>
    <n v="198562"/>
    <s v="iPhone 16 Launch"/>
  </r>
  <r>
    <s v="A23"/>
    <x v="3"/>
    <d v="2024-11-06T00:00:00"/>
    <x v="3"/>
    <s v="#AppleEvent,#iPhone16"/>
    <x v="22"/>
    <n v="800"/>
    <n v="842"/>
    <n v="2072"/>
    <n v="31736"/>
    <n v="59975"/>
    <s v="iPhone 16 Launch"/>
  </r>
  <r>
    <s v="A24"/>
    <x v="1"/>
    <d v="2025-01-23T00:00:00"/>
    <x v="2"/>
    <s v="#iPhone16Launch,#AppleEvent"/>
    <x v="23"/>
    <n v="1265"/>
    <n v="441"/>
    <n v="1612"/>
    <n v="66615"/>
    <n v="197795"/>
    <s v="iPhone 16 Launch"/>
  </r>
  <r>
    <s v="A25"/>
    <x v="1"/>
    <d v="2025-09-09T00:00:00"/>
    <x v="2"/>
    <s v="#AppleWatch,#Health"/>
    <x v="24"/>
    <n v="288"/>
    <n v="520"/>
    <n v="1585"/>
    <n v="59182"/>
    <n v="194351"/>
    <s v="Apple Event September 2025"/>
  </r>
  <r>
    <s v="A26"/>
    <x v="3"/>
    <d v="2025-04-05T00:00:00"/>
    <x v="2"/>
    <s v="#AppleWatch,#Health"/>
    <x v="25"/>
    <n v="601"/>
    <n v="943"/>
    <n v="515"/>
    <n v="41309"/>
    <n v="249373"/>
    <s v="Apple Watch Ultra 2 Launch"/>
  </r>
  <r>
    <s v="A27"/>
    <x v="3"/>
    <d v="2024-09-17T00:00:00"/>
    <x v="1"/>
    <s v="#iPhone16Launch,#AppleEvent"/>
    <x v="26"/>
    <n v="495"/>
    <n v="178"/>
    <n v="2683"/>
    <n v="32244"/>
    <n v="182633"/>
    <s v="Apple Watch Ultra 2 Launch"/>
  </r>
  <r>
    <s v="A28"/>
    <x v="3"/>
    <d v="2025-03-04T00:00:00"/>
    <x v="1"/>
    <s v="#ShotOniPhone"/>
    <x v="27"/>
    <n v="815"/>
    <n v="298"/>
    <n v="2439"/>
    <n v="6259"/>
    <n v="237133"/>
    <s v="iPhone 16 Launch"/>
  </r>
  <r>
    <s v="A29"/>
    <x v="1"/>
    <d v="2025-09-10T00:00:00"/>
    <x v="3"/>
    <s v="#MacBookProM3"/>
    <x v="28"/>
    <n v="999"/>
    <n v="928"/>
    <n v="2700"/>
    <n v="12264"/>
    <n v="128397"/>
    <s v="Apple Event September 2025"/>
  </r>
  <r>
    <s v="A30"/>
    <x v="1"/>
    <d v="2025-02-25T00:00:00"/>
    <x v="3"/>
    <s v="#iPhonePhotography,#ShotOniPhone"/>
    <x v="29"/>
    <n v="621"/>
    <n v="445"/>
    <n v="2918"/>
    <n v="54808"/>
    <n v="220225"/>
    <s v="Apple Watch Ultra 2 Launch"/>
  </r>
  <r>
    <s v="A31"/>
    <x v="2"/>
    <d v="2024-12-16T00:00:00"/>
    <x v="0"/>
    <s v="#AppleEvent,#iPadPro"/>
    <x v="30"/>
    <n v="1246"/>
    <n v="160"/>
    <n v="2004"/>
    <n v="2701"/>
    <n v="73142"/>
    <s v="Apple Watch Ultra 2 Launch"/>
  </r>
  <r>
    <s v="A32"/>
    <x v="2"/>
    <d v="2024-07-31T00:00:00"/>
    <x v="0"/>
    <s v="#AppleEvent,#iPhone16"/>
    <x v="31"/>
    <n v="774"/>
    <n v="661"/>
    <n v="662"/>
    <n v="12676"/>
    <n v="66916"/>
    <s v="Apple Watch Ultra 2 Launch"/>
  </r>
  <r>
    <s v="A33"/>
    <x v="1"/>
    <d v="2025-09-11T00:00:00"/>
    <x v="3"/>
    <s v="#iPhone16Launch,#AppleEvent"/>
    <x v="32"/>
    <n v="342"/>
    <n v="825"/>
    <n v="2904"/>
    <n v="15954"/>
    <n v="104324"/>
    <s v="Apple Event September 2025"/>
  </r>
  <r>
    <s v="A34"/>
    <x v="3"/>
    <d v="2025-09-12T00:00:00"/>
    <x v="1"/>
    <s v="#AppleDesign,#Innovation"/>
    <x v="33"/>
    <n v="1192"/>
    <n v="262"/>
    <n v="2016"/>
    <n v="28771"/>
    <n v="216037"/>
    <s v="Apple Event September 2025"/>
  </r>
  <r>
    <s v="A35"/>
    <x v="3"/>
    <d v="2024-11-30T00:00:00"/>
    <x v="2"/>
    <s v="#AppleEvent,#iPhone16"/>
    <x v="34"/>
    <n v="864"/>
    <n v="336"/>
    <n v="1493"/>
    <n v="33310"/>
    <n v="165932"/>
    <s v="iPhone 16 Launch"/>
  </r>
  <r>
    <s v="A36"/>
    <x v="2"/>
    <d v="2025-04-19T00:00:00"/>
    <x v="3"/>
    <s v="#MacBookProM3"/>
    <x v="35"/>
    <n v="344"/>
    <n v="956"/>
    <n v="655"/>
    <n v="67621"/>
    <n v="175720"/>
    <s v="Sustainability Awareness Drive"/>
  </r>
  <r>
    <s v="A37"/>
    <x v="1"/>
    <d v="2025-01-06T00:00:00"/>
    <x v="0"/>
    <s v="#AppleDesign,#Innovation"/>
    <x v="36"/>
    <n v="1448"/>
    <n v="893"/>
    <n v="490"/>
    <n v="23518"/>
    <n v="206205"/>
    <s v="Apple Watch Ultra 2 Launch"/>
  </r>
  <r>
    <s v="A38"/>
    <x v="2"/>
    <d v="2025-02-17T00:00:00"/>
    <x v="1"/>
    <s v="#MacBookAirM3,#AppleInnovation"/>
    <x v="37"/>
    <n v="1206"/>
    <n v="376"/>
    <n v="2769"/>
    <n v="27550"/>
    <n v="221749"/>
    <s v="Sustainability Awareness Drive"/>
  </r>
  <r>
    <s v="A39"/>
    <x v="2"/>
    <d v="2025-09-13T00:00:00"/>
    <x v="3"/>
    <s v="#AppleMusic,#AppleLifestyle"/>
    <x v="38"/>
    <n v="702"/>
    <n v="459"/>
    <n v="999"/>
    <n v="59627"/>
    <n v="136059"/>
    <s v="Apple Event September 2025"/>
  </r>
  <r>
    <s v="A40"/>
    <x v="0"/>
    <d v="2025-09-14T00:00:00"/>
    <x v="3"/>
    <s v="#AppleWatch,#Health"/>
    <x v="39"/>
    <n v="1020"/>
    <n v="247"/>
    <n v="2354"/>
    <n v="37792"/>
    <n v="138317"/>
    <s v="Apple Event September 2025"/>
  </r>
  <r>
    <s v="A41"/>
    <x v="0"/>
    <d v="2025-09-15T00:00:00"/>
    <x v="1"/>
    <s v="#MacBookAirM3,#AppleInnovation"/>
    <x v="40"/>
    <n v="303"/>
    <n v="204"/>
    <n v="2480"/>
    <n v="7377"/>
    <n v="241207"/>
    <s v="Apple Event September 2025"/>
  </r>
  <r>
    <s v="A42"/>
    <x v="0"/>
    <d v="2025-03-05T00:00:00"/>
    <x v="3"/>
    <s v="#AppleEvent,#iPhone16"/>
    <x v="41"/>
    <n v="1262"/>
    <n v="772"/>
    <n v="856"/>
    <n v="11496"/>
    <n v="75046"/>
    <s v="Sustainability Awareness Drive"/>
  </r>
  <r>
    <s v="A43"/>
    <x v="3"/>
    <d v="2025-09-16T00:00:00"/>
    <x v="1"/>
    <s v="#MacBookProM3"/>
    <x v="42"/>
    <n v="397"/>
    <n v="813"/>
    <n v="1125"/>
    <n v="12206"/>
    <n v="218136"/>
    <s v="Apple Event September 2025"/>
  </r>
  <r>
    <s v="A44"/>
    <x v="1"/>
    <d v="2025-03-02T00:00:00"/>
    <x v="2"/>
    <s v="#iPhonePhotography,#ShotOniPhone"/>
    <x v="43"/>
    <n v="778"/>
    <n v="907"/>
    <n v="1354"/>
    <n v="34475"/>
    <n v="141459"/>
    <s v="iPhone 16 Launch"/>
  </r>
  <r>
    <s v="A45"/>
    <x v="1"/>
    <d v="2025-09-17T00:00:00"/>
    <x v="1"/>
    <s v="#AppleMusic,#AppleLifestyle"/>
    <x v="44"/>
    <n v="590"/>
    <n v="555"/>
    <n v="2882"/>
    <n v="49816"/>
    <n v="240422"/>
    <s v="Apple Event September 2025"/>
  </r>
  <r>
    <s v="A46"/>
    <x v="1"/>
    <d v="2025-05-02T00:00:00"/>
    <x v="1"/>
    <s v="#AppleEvent,#iPhone16"/>
    <x v="45"/>
    <n v="1402"/>
    <n v="218"/>
    <n v="725"/>
    <n v="8710"/>
    <n v="85893"/>
    <s v="MacBook Air M3 Campaign"/>
  </r>
  <r>
    <s v="A47"/>
    <x v="1"/>
    <d v="2025-02-24T00:00:00"/>
    <x v="1"/>
    <s v="#iPhone16Launch,#AppleEvent"/>
    <x v="46"/>
    <n v="753"/>
    <n v="461"/>
    <n v="2710"/>
    <n v="20792"/>
    <n v="141520"/>
    <s v="Sustainability Awareness Drive"/>
  </r>
  <r>
    <s v="A48"/>
    <x v="0"/>
    <d v="2025-03-11T00:00:00"/>
    <x v="3"/>
    <s v="#AppleWatchUltra2,#HealthTech"/>
    <x v="47"/>
    <n v="1238"/>
    <n v="438"/>
    <n v="1874"/>
    <n v="36272"/>
    <n v="165818"/>
    <s v="MacBook Air M3 Campaign"/>
  </r>
  <r>
    <s v="A49"/>
    <x v="3"/>
    <d v="2025-09-18T00:00:00"/>
    <x v="3"/>
    <s v="#AppleEvent,#iPhone16"/>
    <x v="48"/>
    <n v="677"/>
    <n v="911"/>
    <n v="2429"/>
    <n v="27361"/>
    <n v="101272"/>
    <s v="Apple Event September 2025"/>
  </r>
  <r>
    <s v="A50"/>
    <x v="3"/>
    <d v="2024-07-03T00:00:00"/>
    <x v="1"/>
    <s v="#AppleMusic,#AppleLifestyle"/>
    <x v="49"/>
    <n v="1454"/>
    <n v="697"/>
    <n v="2703"/>
    <n v="21288"/>
    <n v="107649"/>
    <s v="iPhone 16 Launch"/>
  </r>
  <r>
    <s v="A51"/>
    <x v="0"/>
    <d v="2024-06-13T00:00:00"/>
    <x v="3"/>
    <s v="#AppleWatch,#Health"/>
    <x v="50"/>
    <n v="1122"/>
    <n v="900"/>
    <n v="888"/>
    <n v="36938"/>
    <n v="104674"/>
    <s v="Apple Watch Ultra 2 Launch"/>
  </r>
  <r>
    <s v="A52"/>
    <x v="3"/>
    <d v="2025-09-19T00:00:00"/>
    <x v="0"/>
    <s v="#AppleWatch,#Health"/>
    <x v="51"/>
    <n v="619"/>
    <n v="297"/>
    <n v="2312"/>
    <n v="9730"/>
    <n v="184832"/>
    <s v="Apple Event September 2025"/>
  </r>
  <r>
    <s v="A53"/>
    <x v="0"/>
    <d v="2025-02-24T00:00:00"/>
    <x v="0"/>
    <s v="#AppleEvent,#iPhone16"/>
    <x v="52"/>
    <n v="356"/>
    <n v="616"/>
    <n v="1847"/>
    <n v="3144"/>
    <n v="192999"/>
    <s v="iPhone 16 Launch"/>
  </r>
  <r>
    <s v="A54"/>
    <x v="1"/>
    <d v="2025-03-13T00:00:00"/>
    <x v="3"/>
    <s v="#AppleDesign,#Innovation"/>
    <x v="53"/>
    <n v="749"/>
    <n v="888"/>
    <n v="594"/>
    <n v="18171"/>
    <n v="126475"/>
    <s v="Sustainability Awareness Drive"/>
  </r>
  <r>
    <s v="A55"/>
    <x v="0"/>
    <d v="2024-06-17T00:00:00"/>
    <x v="3"/>
    <s v="#AppleWatchUltra2,#HealthTech"/>
    <x v="54"/>
    <n v="1320"/>
    <n v="393"/>
    <n v="2285"/>
    <n v="14049"/>
    <n v="101367"/>
    <s v="MacBook Air M3 Campaign"/>
  </r>
  <r>
    <s v="A56"/>
    <x v="1"/>
    <d v="2024-12-18T00:00:00"/>
    <x v="1"/>
    <s v="#iPhone16Launch,#AppleEvent"/>
    <x v="55"/>
    <n v="1220"/>
    <n v="640"/>
    <n v="1547"/>
    <n v="28527"/>
    <n v="183660"/>
    <s v="MacBook Air M3 Campaign"/>
  </r>
  <r>
    <s v="A57"/>
    <x v="1"/>
    <d v="2024-10-21T00:00:00"/>
    <x v="2"/>
    <s v="#AppleEvent,#iPhone16"/>
    <x v="56"/>
    <n v="1196"/>
    <n v="998"/>
    <n v="1848"/>
    <n v="44739"/>
    <n v="161750"/>
    <s v="MacBook Air M3 Campaign"/>
  </r>
  <r>
    <s v="A58"/>
    <x v="2"/>
    <d v="2025-04-15T00:00:00"/>
    <x v="3"/>
    <s v="#AppleDesign,#Innovation"/>
    <x v="57"/>
    <n v="1150"/>
    <n v="656"/>
    <n v="1990"/>
    <n v="410"/>
    <n v="158154"/>
    <s v="Sustainability Awareness Drive"/>
  </r>
  <r>
    <s v="A59"/>
    <x v="0"/>
    <d v="2024-06-22T00:00:00"/>
    <x v="0"/>
    <s v="#AppleWatch,#Health"/>
    <x v="58"/>
    <n v="488"/>
    <n v="514"/>
    <n v="1436"/>
    <n v="30059"/>
    <n v="223305"/>
    <s v="iPhone 16 Launch"/>
  </r>
  <r>
    <s v="A60"/>
    <x v="2"/>
    <d v="2025-01-28T00:00:00"/>
    <x v="1"/>
    <s v="#AppleWatch,#Health"/>
    <x v="59"/>
    <n v="1477"/>
    <n v="631"/>
    <n v="1556"/>
    <n v="11580"/>
    <n v="84738"/>
    <s v="Sustainability Awareness Drive"/>
  </r>
  <r>
    <s v="A61"/>
    <x v="0"/>
    <d v="2024-09-05T00:00:00"/>
    <x v="3"/>
    <s v="#MacBookProM3"/>
    <x v="60"/>
    <n v="395"/>
    <n v="350"/>
    <n v="2364"/>
    <n v="43239"/>
    <n v="73397"/>
    <s v="MacBook Air M3 Campaign"/>
  </r>
  <r>
    <s v="A62"/>
    <x v="0"/>
    <d v="2025-09-20T00:00:00"/>
    <x v="0"/>
    <s v="#AppleEvent,#iPhone16"/>
    <x v="61"/>
    <n v="797"/>
    <n v="303"/>
    <n v="659"/>
    <n v="7"/>
    <n v="122189"/>
    <s v="Apple Event September 2025"/>
  </r>
  <r>
    <s v="A63"/>
    <x v="2"/>
    <d v="2024-07-31T00:00:00"/>
    <x v="0"/>
    <s v="#AppleWatchUltra2,#HealthTech"/>
    <x v="62"/>
    <n v="716"/>
    <n v="599"/>
    <n v="999"/>
    <n v="89591"/>
    <n v="116367"/>
    <s v="Apple Watch Ultra 2 Launch"/>
  </r>
  <r>
    <s v="A64"/>
    <x v="2"/>
    <d v="2024-08-17T00:00:00"/>
    <x v="2"/>
    <s v="#ShotOniPhone"/>
    <x v="63"/>
    <n v="1064"/>
    <n v="650"/>
    <n v="747"/>
    <n v="42667"/>
    <n v="242332"/>
    <s v="Sustainability Awareness Drive"/>
  </r>
  <r>
    <s v="A65"/>
    <x v="0"/>
    <d v="2025-03-28T00:00:00"/>
    <x v="1"/>
    <s v="#AppleWatchUltra2,#HealthTech"/>
    <x v="64"/>
    <n v="1341"/>
    <n v="222"/>
    <n v="2712"/>
    <n v="19987"/>
    <n v="160585"/>
    <s v="Sustainability Awareness Drive"/>
  </r>
  <r>
    <s v="A66"/>
    <x v="3"/>
    <d v="2024-07-26T00:00:00"/>
    <x v="1"/>
    <s v="#AppleWatch,#Health"/>
    <x v="65"/>
    <n v="1005"/>
    <n v="862"/>
    <n v="974"/>
    <n v="2285"/>
    <n v="116619"/>
    <s v="iPhone 16 Launch"/>
  </r>
  <r>
    <s v="A67"/>
    <x v="1"/>
    <d v="2025-03-29T00:00:00"/>
    <x v="2"/>
    <s v="#AppleWatch,#Health"/>
    <x v="66"/>
    <n v="1382"/>
    <n v="445"/>
    <n v="1307"/>
    <n v="84691"/>
    <n v="151453"/>
    <s v="iPhone 16 Launch"/>
  </r>
  <r>
    <s v="A68"/>
    <x v="2"/>
    <d v="2024-12-08T00:00:00"/>
    <x v="2"/>
    <s v="#MacBookAirM3,#AppleInnovation"/>
    <x v="67"/>
    <n v="1014"/>
    <n v="166"/>
    <n v="1649"/>
    <n v="15145"/>
    <n v="59816"/>
    <s v="Sustainability Awareness Drive"/>
  </r>
  <r>
    <s v="A69"/>
    <x v="1"/>
    <d v="2025-03-08T00:00:00"/>
    <x v="1"/>
    <s v="#AppleWatch,#Health"/>
    <x v="68"/>
    <n v="427"/>
    <n v="790"/>
    <n v="2814"/>
    <n v="24916"/>
    <n v="213312"/>
    <s v="MacBook Air M3 Campaign"/>
  </r>
  <r>
    <s v="A70"/>
    <x v="3"/>
    <d v="2025-04-02T00:00:00"/>
    <x v="1"/>
    <s v="#iPhone16Launch,#AppleEvent"/>
    <x v="69"/>
    <n v="415"/>
    <n v="366"/>
    <n v="2761"/>
    <n v="2988"/>
    <n v="177348"/>
    <s v="Apple Watch Ultra 2 Launch"/>
  </r>
  <r>
    <s v="A71"/>
    <x v="3"/>
    <d v="2024-09-02T00:00:00"/>
    <x v="3"/>
    <s v="#AppleEvent,#iPadPro"/>
    <x v="70"/>
    <n v="1147"/>
    <n v="210"/>
    <n v="885"/>
    <n v="30360"/>
    <n v="119530"/>
    <s v="iPhone 16 Launch"/>
  </r>
  <r>
    <s v="A72"/>
    <x v="3"/>
    <d v="2025-03-03T00:00:00"/>
    <x v="3"/>
    <s v="#AppleEvent,#iPhone16"/>
    <x v="71"/>
    <n v="214"/>
    <n v="765"/>
    <n v="1556"/>
    <n v="5239"/>
    <n v="194571"/>
    <s v="MacBook Air M3 Campaign"/>
  </r>
  <r>
    <s v="A73"/>
    <x v="2"/>
    <d v="2025-09-21T00:00:00"/>
    <x v="2"/>
    <s v="#AppleWatchUltra2,#HealthTech"/>
    <x v="72"/>
    <n v="1380"/>
    <n v="191"/>
    <n v="1547"/>
    <n v="77798"/>
    <n v="148856"/>
    <s v="Apple Event September 2025"/>
  </r>
  <r>
    <s v="A74"/>
    <x v="3"/>
    <d v="2024-10-28T00:00:00"/>
    <x v="3"/>
    <s v="#AppleEvent,#iPadPro"/>
    <x v="73"/>
    <n v="1484"/>
    <n v="174"/>
    <n v="1293"/>
    <n v="16330"/>
    <n v="111635"/>
    <s v="iPhone 16 Launch"/>
  </r>
  <r>
    <s v="A75"/>
    <x v="2"/>
    <d v="2024-08-01T00:00:00"/>
    <x v="0"/>
    <s v="#AppleDesign,#Innovation"/>
    <x v="74"/>
    <n v="1380"/>
    <n v="188"/>
    <n v="1735"/>
    <n v="20998"/>
    <n v="147803"/>
    <s v="MacBook Air M3 Campaign"/>
  </r>
  <r>
    <s v="A76"/>
    <x v="3"/>
    <d v="2024-11-07T00:00:00"/>
    <x v="3"/>
    <s v="#ShotOniPhone"/>
    <x v="75"/>
    <n v="246"/>
    <n v="952"/>
    <n v="871"/>
    <n v="14957"/>
    <n v="75946"/>
    <s v="MacBook Air M3 Campaign"/>
  </r>
  <r>
    <s v="A77"/>
    <x v="1"/>
    <d v="2025-03-04T00:00:00"/>
    <x v="3"/>
    <s v="#iPhone16Launch,#AppleEvent"/>
    <x v="76"/>
    <n v="523"/>
    <n v="280"/>
    <n v="2682"/>
    <n v="8538"/>
    <n v="95204"/>
    <s v="Apple Watch Ultra 2 Launch"/>
  </r>
  <r>
    <s v="A78"/>
    <x v="1"/>
    <d v="2024-06-17T00:00:00"/>
    <x v="0"/>
    <s v="#AppleMusic,#AppleLifestyle"/>
    <x v="77"/>
    <n v="1043"/>
    <n v="647"/>
    <n v="1545"/>
    <n v="18859"/>
    <n v="222958"/>
    <s v="Apple Watch Ultra 2 Launch"/>
  </r>
  <r>
    <s v="A79"/>
    <x v="0"/>
    <d v="2025-09-22T00:00:00"/>
    <x v="2"/>
    <s v="#Sustainability,#AppleEarth"/>
    <x v="78"/>
    <n v="329"/>
    <n v="378"/>
    <n v="2384"/>
    <n v="39404"/>
    <n v="242724"/>
    <s v="Apple Event September 2025"/>
  </r>
  <r>
    <s v="A80"/>
    <x v="1"/>
    <d v="2024-06-13T00:00:00"/>
    <x v="0"/>
    <s v="#AppleWatchUltra2,#HealthTech"/>
    <x v="79"/>
    <n v="294"/>
    <n v="257"/>
    <n v="1288"/>
    <n v="39466"/>
    <n v="55563"/>
    <s v="MacBook Air M3 Campaign"/>
  </r>
  <r>
    <s v="A81"/>
    <x v="0"/>
    <d v="2024-10-19T00:00:00"/>
    <x v="3"/>
    <s v="#AppleEvent,#iPadPro"/>
    <x v="80"/>
    <n v="826"/>
    <n v="321"/>
    <n v="577"/>
    <n v="19262"/>
    <n v="132324"/>
    <s v="MacBook Air M3 Campaign"/>
  </r>
  <r>
    <s v="A82"/>
    <x v="1"/>
    <d v="2024-07-24T00:00:00"/>
    <x v="2"/>
    <s v="#AppleMusic,#AppleLifestyle"/>
    <x v="81"/>
    <n v="954"/>
    <n v="584"/>
    <n v="1519"/>
    <n v="13637"/>
    <n v="49847"/>
    <s v="Apple Watch Ultra 2 Launch"/>
  </r>
  <r>
    <s v="A83"/>
    <x v="2"/>
    <d v="2024-10-15T00:00:00"/>
    <x v="3"/>
    <s v="#ShotOniPhone"/>
    <x v="82"/>
    <n v="993"/>
    <n v="627"/>
    <n v="2187"/>
    <n v="9609"/>
    <n v="66155"/>
    <s v="iPhone 16 Launch"/>
  </r>
  <r>
    <s v="A84"/>
    <x v="1"/>
    <d v="2024-12-09T00:00:00"/>
    <x v="0"/>
    <s v="#MacBookAirM3,#AppleInnovation"/>
    <x v="83"/>
    <n v="268"/>
    <n v="251"/>
    <n v="783"/>
    <n v="34154"/>
    <n v="119671"/>
    <s v="iPhone 16 Launch"/>
  </r>
  <r>
    <s v="A85"/>
    <x v="0"/>
    <d v="2025-04-19T00:00:00"/>
    <x v="0"/>
    <s v="#AppleMusic,#AppleLifestyle"/>
    <x v="84"/>
    <n v="210"/>
    <n v="673"/>
    <n v="1565"/>
    <n v="24847"/>
    <n v="156891"/>
    <s v="Sustainability Awareness Drive"/>
  </r>
  <r>
    <s v="A86"/>
    <x v="0"/>
    <d v="2025-01-27T00:00:00"/>
    <x v="3"/>
    <s v="#iPhone16Launch,#AppleEvent"/>
    <x v="85"/>
    <n v="1477"/>
    <n v="424"/>
    <n v="1030"/>
    <n v="58052"/>
    <n v="123310"/>
    <s v="Apple Watch Ultra 2 Launch"/>
  </r>
  <r>
    <s v="A87"/>
    <x v="3"/>
    <d v="2024-06-06T00:00:00"/>
    <x v="1"/>
    <s v="#iPhone16Launch,#AppleEvent"/>
    <x v="86"/>
    <n v="1071"/>
    <n v="762"/>
    <n v="2539"/>
    <n v="12701"/>
    <n v="238350"/>
    <s v="Sustainability Awareness Drive"/>
  </r>
  <r>
    <s v="A88"/>
    <x v="2"/>
    <d v="2024-07-07T00:00:00"/>
    <x v="1"/>
    <s v="#MacBookAirM3,#AppleInnovation"/>
    <x v="87"/>
    <n v="749"/>
    <n v="193"/>
    <n v="1340"/>
    <n v="4890"/>
    <n v="189381"/>
    <s v="Apple Watch Ultra 2 Launch"/>
  </r>
  <r>
    <s v="A89"/>
    <x v="1"/>
    <d v="2025-09-23T00:00:00"/>
    <x v="0"/>
    <s v="#Sustainability,#AppleEarth"/>
    <x v="88"/>
    <n v="1357"/>
    <n v="966"/>
    <n v="2871"/>
    <n v="14800"/>
    <n v="171691"/>
    <s v="Apple Event September 2025"/>
  </r>
  <r>
    <s v="A90"/>
    <x v="3"/>
    <d v="2024-06-03T00:00:00"/>
    <x v="0"/>
    <s v="#AppleEvent,#iPhone16"/>
    <x v="89"/>
    <n v="911"/>
    <n v="166"/>
    <n v="1217"/>
    <n v="68817"/>
    <n v="221180"/>
    <s v="MacBook Air M3 Campaign"/>
  </r>
  <r>
    <s v="A91"/>
    <x v="1"/>
    <d v="2025-09-24T00:00:00"/>
    <x v="1"/>
    <s v="#AppleMusic,#AppleLifestyle"/>
    <x v="90"/>
    <n v="222"/>
    <n v="479"/>
    <n v="2748"/>
    <n v="24615"/>
    <n v="74707"/>
    <s v="Apple Event September 2025"/>
  </r>
  <r>
    <s v="A92"/>
    <x v="1"/>
    <d v="2024-10-21T00:00:00"/>
    <x v="1"/>
    <s v="#MacBookAirM3,#AppleInnovation"/>
    <x v="91"/>
    <n v="1014"/>
    <n v="718"/>
    <n v="1185"/>
    <n v="37625"/>
    <n v="191409"/>
    <s v="Apple Watch Ultra 2 Launch"/>
  </r>
  <r>
    <s v="A93"/>
    <x v="3"/>
    <d v="2024-12-11T00:00:00"/>
    <x v="3"/>
    <s v="#iPhone16Launch,#AppleEvent"/>
    <x v="92"/>
    <n v="545"/>
    <n v="972"/>
    <n v="321"/>
    <n v="8396"/>
    <n v="121537"/>
    <s v="MacBook Air M3 Campaign"/>
  </r>
  <r>
    <s v="A94"/>
    <x v="3"/>
    <d v="2024-11-07T00:00:00"/>
    <x v="3"/>
    <s v="#iPhone16Launch,#AppleEvent"/>
    <x v="93"/>
    <n v="501"/>
    <n v="646"/>
    <n v="773"/>
    <n v="17841"/>
    <n v="237576"/>
    <s v="iPhone 16 Launch"/>
  </r>
  <r>
    <s v="A95"/>
    <x v="3"/>
    <d v="2024-11-08T00:00:00"/>
    <x v="1"/>
    <s v="#AppleEvent,#iPadPro"/>
    <x v="94"/>
    <n v="562"/>
    <n v="964"/>
    <n v="2557"/>
    <n v="56890"/>
    <n v="218686"/>
    <s v="iPhone 16 Launch"/>
  </r>
  <r>
    <s v="A96"/>
    <x v="3"/>
    <d v="2024-09-10T00:00:00"/>
    <x v="3"/>
    <s v="#AppleWatch,#Health"/>
    <x v="95"/>
    <n v="595"/>
    <n v="161"/>
    <n v="2653"/>
    <n v="19334"/>
    <n v="131155"/>
    <s v="Sustainability Awareness Drive"/>
  </r>
  <r>
    <s v="A97"/>
    <x v="3"/>
    <d v="2024-08-13T00:00:00"/>
    <x v="3"/>
    <s v="#Sustainability,#AppleEarth"/>
    <x v="96"/>
    <n v="417"/>
    <n v="467"/>
    <n v="1003"/>
    <n v="61333"/>
    <n v="40281"/>
    <s v="Apple Watch Ultra 2 Launch"/>
  </r>
  <r>
    <s v="A98"/>
    <x v="1"/>
    <d v="2024-06-10T00:00:00"/>
    <x v="2"/>
    <s v="#AppleMusic,#AppleLifestyle"/>
    <x v="97"/>
    <n v="340"/>
    <n v="741"/>
    <n v="986"/>
    <n v="24826"/>
    <n v="198492"/>
    <s v="Apple Watch Ultra 2 Launch"/>
  </r>
  <r>
    <s v="A99"/>
    <x v="3"/>
    <d v="2024-07-02T00:00:00"/>
    <x v="3"/>
    <s v="#AppleMusic,#AppleLifestyle"/>
    <x v="98"/>
    <n v="1157"/>
    <n v="365"/>
    <n v="584"/>
    <n v="66634"/>
    <n v="210102"/>
    <s v="iPhone 16 Launch"/>
  </r>
  <r>
    <s v="A100"/>
    <x v="2"/>
    <d v="2025-09-25T00:00:00"/>
    <x v="0"/>
    <s v="#ShotOniPhone"/>
    <x v="99"/>
    <n v="1433"/>
    <n v="488"/>
    <n v="1015"/>
    <n v="24333"/>
    <n v="172130"/>
    <s v="Apple Event September 2025"/>
  </r>
  <r>
    <s v="A101"/>
    <x v="0"/>
    <d v="2024-10-18T00:00:00"/>
    <x v="3"/>
    <s v="#MacBookAirM3,#AppleInnovation"/>
    <x v="100"/>
    <n v="1184"/>
    <n v="925"/>
    <n v="1062"/>
    <n v="75008"/>
    <n v="116260"/>
    <s v="MacBook Air M3 Campaign"/>
  </r>
  <r>
    <s v="A102"/>
    <x v="3"/>
    <d v="2025-09-26T00:00:00"/>
    <x v="3"/>
    <s v="#ShotOniPhone"/>
    <x v="101"/>
    <n v="1192"/>
    <n v="810"/>
    <n v="1550"/>
    <n v="5221"/>
    <n v="199476"/>
    <s v="Apple Event September 2025"/>
  </r>
  <r>
    <s v="A103"/>
    <x v="3"/>
    <d v="2025-09-27T00:00:00"/>
    <x v="1"/>
    <s v="#MacBookAirM3,#AppleInnovation"/>
    <x v="102"/>
    <n v="1027"/>
    <n v="230"/>
    <n v="1247"/>
    <n v="39588"/>
    <n v="200928"/>
    <s v="Apple Event September 2025"/>
  </r>
  <r>
    <s v="A104"/>
    <x v="1"/>
    <d v="2025-03-23T00:00:00"/>
    <x v="0"/>
    <s v="#AppleDesign,#Innovation"/>
    <x v="103"/>
    <n v="882"/>
    <n v="876"/>
    <n v="2728"/>
    <n v="32015"/>
    <n v="180272"/>
    <s v="iPhone 16 Launch"/>
  </r>
  <r>
    <s v="A105"/>
    <x v="3"/>
    <d v="2024-06-14T00:00:00"/>
    <x v="3"/>
    <s v="#iPhone16Launch,#AppleEvent"/>
    <x v="104"/>
    <n v="1203"/>
    <n v="634"/>
    <n v="2807"/>
    <n v="3647"/>
    <n v="104178"/>
    <s v="iPhone 16 Launch"/>
  </r>
  <r>
    <s v="A106"/>
    <x v="3"/>
    <d v="2025-02-04T00:00:00"/>
    <x v="3"/>
    <s v="#AppleWatch,#Health"/>
    <x v="105"/>
    <n v="555"/>
    <n v="523"/>
    <n v="1330"/>
    <n v="69141"/>
    <n v="73997"/>
    <s v="iPhone 16 Launch"/>
  </r>
  <r>
    <s v="A107"/>
    <x v="3"/>
    <d v="2024-06-21T00:00:00"/>
    <x v="2"/>
    <s v="#AppleEvent,#iPadPro"/>
    <x v="106"/>
    <n v="1207"/>
    <n v="859"/>
    <n v="328"/>
    <n v="91296"/>
    <n v="196683"/>
    <s v="Sustainability Awareness Drive"/>
  </r>
  <r>
    <s v="A108"/>
    <x v="1"/>
    <d v="2025-09-28T00:00:00"/>
    <x v="3"/>
    <s v="#AppleWatch,#Health"/>
    <x v="107"/>
    <n v="1356"/>
    <n v="349"/>
    <n v="1206"/>
    <n v="51755"/>
    <n v="159273"/>
    <s v="Apple Event September 2025"/>
  </r>
  <r>
    <s v="A109"/>
    <x v="3"/>
    <d v="2024-08-08T00:00:00"/>
    <x v="3"/>
    <s v="#AppleWatch,#Health"/>
    <x v="108"/>
    <n v="1087"/>
    <n v="686"/>
    <n v="2426"/>
    <n v="24963"/>
    <n v="212307"/>
    <s v="Apple Watch Ultra 2 Launch"/>
  </r>
  <r>
    <s v="A110"/>
    <x v="0"/>
    <d v="2024-07-29T00:00:00"/>
    <x v="2"/>
    <s v="#AppleWatch,#Health"/>
    <x v="109"/>
    <n v="326"/>
    <n v="615"/>
    <n v="2806"/>
    <n v="38579"/>
    <n v="206129"/>
    <s v="MacBook Air M3 Campaign"/>
  </r>
  <r>
    <s v="A111"/>
    <x v="1"/>
    <d v="2024-11-23T00:00:00"/>
    <x v="1"/>
    <s v="#ShotOniPhone"/>
    <x v="110"/>
    <n v="1329"/>
    <n v="238"/>
    <n v="869"/>
    <n v="40281"/>
    <n v="172311"/>
    <s v="Sustainability Awareness Drive"/>
  </r>
  <r>
    <s v="A112"/>
    <x v="0"/>
    <d v="2024-10-05T00:00:00"/>
    <x v="3"/>
    <s v="#MacBookAirM3,#AppleInnovation"/>
    <x v="111"/>
    <n v="1208"/>
    <n v="417"/>
    <n v="2306"/>
    <n v="16865"/>
    <n v="236733"/>
    <s v="Apple Watch Ultra 2 Launch"/>
  </r>
  <r>
    <s v="A113"/>
    <x v="1"/>
    <d v="2025-09-29T00:00:00"/>
    <x v="2"/>
    <s v="#iPhonePhotography,#ShotOniPhone"/>
    <x v="112"/>
    <n v="803"/>
    <n v="804"/>
    <n v="1753"/>
    <n v="43582"/>
    <n v="166945"/>
    <s v="Apple Event September 2025"/>
  </r>
  <r>
    <s v="A114"/>
    <x v="3"/>
    <d v="2024-11-14T00:00:00"/>
    <x v="0"/>
    <s v="#AppleDesign,#Innovation"/>
    <x v="113"/>
    <n v="1213"/>
    <n v="720"/>
    <n v="1037"/>
    <n v="39569"/>
    <n v="85272"/>
    <s v="iPhone 16 Launch"/>
  </r>
  <r>
    <s v="A115"/>
    <x v="0"/>
    <d v="2025-09-30T00:00:00"/>
    <x v="1"/>
    <s v="#AppleWatchUltra2,#HealthTech"/>
    <x v="114"/>
    <n v="250"/>
    <n v="638"/>
    <n v="815"/>
    <n v="41991"/>
    <n v="129393"/>
    <s v="Apple Event September 2025"/>
  </r>
  <r>
    <s v="A116"/>
    <x v="1"/>
    <d v="2025-03-18T00:00:00"/>
    <x v="0"/>
    <s v="#AppleWatch,#Health"/>
    <x v="115"/>
    <n v="1252"/>
    <n v="687"/>
    <n v="2300"/>
    <n v="25081"/>
    <n v="101212"/>
    <s v="MacBook Air M3 Campaign"/>
  </r>
  <r>
    <s v="A117"/>
    <x v="2"/>
    <d v="2024-11-04T00:00:00"/>
    <x v="0"/>
    <s v="#AppleEvent,#iPhone16"/>
    <x v="116"/>
    <n v="978"/>
    <n v="196"/>
    <n v="2744"/>
    <n v="20190"/>
    <n v="186470"/>
    <s v="Sustainability Awareness Drive"/>
  </r>
  <r>
    <s v="A118"/>
    <x v="3"/>
    <d v="2024-11-04T00:00:00"/>
    <x v="2"/>
    <s v="#ShotOniPhone"/>
    <x v="117"/>
    <n v="1013"/>
    <n v="437"/>
    <n v="338"/>
    <n v="67754"/>
    <n v="160030"/>
    <s v="Sustainability Awareness Drive"/>
  </r>
  <r>
    <s v="A119"/>
    <x v="1"/>
    <d v="2025-02-07T00:00:00"/>
    <x v="3"/>
    <s v="#Sustainability,#AppleEarth"/>
    <x v="118"/>
    <n v="619"/>
    <n v="927"/>
    <n v="1186"/>
    <n v="8924"/>
    <n v="96503"/>
    <s v="MacBook Air M3 Campaign"/>
  </r>
  <r>
    <s v="A120"/>
    <x v="2"/>
    <d v="2024-10-21T00:00:00"/>
    <x v="2"/>
    <s v="#AppleEvent,#iPadPro"/>
    <x v="119"/>
    <n v="1405"/>
    <n v="165"/>
    <n v="2504"/>
    <n v="8081"/>
    <n v="177710"/>
    <s v="Apple Watch Ultra 2 Launch"/>
  </r>
  <r>
    <s v="A121"/>
    <x v="1"/>
    <d v="2024-07-29T00:00:00"/>
    <x v="2"/>
    <s v="#AppleWatchUltra2,#HealthTech"/>
    <x v="120"/>
    <n v="1182"/>
    <n v="860"/>
    <n v="1398"/>
    <n v="4185"/>
    <n v="46570"/>
    <s v="Apple Watch Ultra 2 Launch"/>
  </r>
  <r>
    <s v="A122"/>
    <x v="2"/>
    <d v="2024-10-02T00:00:00"/>
    <x v="2"/>
    <s v="#iPhonePhotography,#ShotOniPhone"/>
    <x v="121"/>
    <n v="1024"/>
    <n v="550"/>
    <n v="2123"/>
    <n v="53916"/>
    <n v="108785"/>
    <s v="Sustainability Awareness Drive"/>
  </r>
  <r>
    <s v="A123"/>
    <x v="3"/>
    <d v="2024-06-14T00:00:00"/>
    <x v="2"/>
    <s v="#AppleEvent,#iPhone16"/>
    <x v="122"/>
    <n v="1224"/>
    <n v="943"/>
    <n v="2010"/>
    <n v="21481"/>
    <n v="49110"/>
    <s v="Sustainability Awareness Drive"/>
  </r>
  <r>
    <s v="A124"/>
    <x v="0"/>
    <d v="2025-04-06T00:00:00"/>
    <x v="1"/>
    <s v="#iPhonePhotography,#ShotOniPhone"/>
    <x v="123"/>
    <n v="766"/>
    <n v="235"/>
    <n v="1273"/>
    <n v="4706"/>
    <n v="119141"/>
    <s v="iPhone 16 Launch"/>
  </r>
  <r>
    <s v="A125"/>
    <x v="2"/>
    <d v="2024-09-08T00:00:00"/>
    <x v="3"/>
    <s v="#AppleWatchUltra2,#HealthTech"/>
    <x v="124"/>
    <n v="570"/>
    <n v="399"/>
    <n v="1862"/>
    <n v="34088"/>
    <n v="52115"/>
    <s v="Apple Watch Ultra 2 Launch"/>
  </r>
  <r>
    <s v="A126"/>
    <x v="1"/>
    <d v="2025-03-28T00:00:00"/>
    <x v="0"/>
    <s v="#AppleWatch,#Health"/>
    <x v="125"/>
    <n v="1135"/>
    <n v="540"/>
    <n v="1288"/>
    <n v="45183"/>
    <n v="79062"/>
    <s v="MacBook Air M3 Campaign"/>
  </r>
  <r>
    <s v="A127"/>
    <x v="3"/>
    <d v="2025-01-27T00:00:00"/>
    <x v="0"/>
    <s v="#AppleEvent,#iPhone16"/>
    <x v="126"/>
    <n v="860"/>
    <n v="931"/>
    <n v="320"/>
    <n v="65049"/>
    <n v="62911"/>
    <s v="Apple Watch Ultra 2 Launch"/>
  </r>
  <r>
    <s v="A128"/>
    <x v="2"/>
    <d v="2025-01-10T00:00:00"/>
    <x v="3"/>
    <s v="#iPhonePhotography,#ShotOniPhone"/>
    <x v="127"/>
    <n v="1168"/>
    <n v="484"/>
    <n v="2650"/>
    <n v="27217"/>
    <n v="144061"/>
    <s v="iPhone 16 Launch"/>
  </r>
  <r>
    <s v="A129"/>
    <x v="1"/>
    <d v="2024-07-21T00:00:00"/>
    <x v="0"/>
    <s v="#AppleEvent,#iPadPro"/>
    <x v="128"/>
    <n v="1360"/>
    <n v="778"/>
    <n v="1168"/>
    <n v="16483"/>
    <n v="72556"/>
    <s v="Sustainability Awareness Drive"/>
  </r>
  <r>
    <s v="A130"/>
    <x v="1"/>
    <d v="2024-09-29T00:00:00"/>
    <x v="3"/>
    <s v="#MacBookAirM3,#AppleInnovation"/>
    <x v="129"/>
    <n v="401"/>
    <n v="668"/>
    <n v="383"/>
    <n v="37571"/>
    <n v="249203"/>
    <s v="Sustainability Awareness Drive"/>
  </r>
  <r>
    <s v="A131"/>
    <x v="1"/>
    <d v="2024-10-21T00:00:00"/>
    <x v="0"/>
    <s v="#iPhone16Launch,#AppleEvent"/>
    <x v="130"/>
    <n v="512"/>
    <n v="286"/>
    <n v="1982"/>
    <n v="43225"/>
    <n v="168335"/>
    <s v="iPhone 16 Launch"/>
  </r>
  <r>
    <s v="A132"/>
    <x v="2"/>
    <d v="2025-03-04T00:00:00"/>
    <x v="2"/>
    <s v="#MacBookAirM3,#AppleInnovation"/>
    <x v="131"/>
    <n v="316"/>
    <n v="837"/>
    <n v="2276"/>
    <n v="20967"/>
    <n v="41969"/>
    <s v="MacBook Air M3 Campaign"/>
  </r>
  <r>
    <s v="A133"/>
    <x v="2"/>
    <d v="2025-02-06T00:00:00"/>
    <x v="0"/>
    <s v="#AppleWatchUltra2,#HealthTech"/>
    <x v="132"/>
    <n v="1136"/>
    <n v="989"/>
    <n v="1710"/>
    <n v="36467"/>
    <n v="83753"/>
    <s v="Sustainability Awareness Drive"/>
  </r>
  <r>
    <s v="A134"/>
    <x v="2"/>
    <d v="2025-10-01T00:00:00"/>
    <x v="3"/>
    <s v="#ShotOniPhone"/>
    <x v="133"/>
    <n v="774"/>
    <n v="647"/>
    <n v="1830"/>
    <n v="55436"/>
    <n v="175542"/>
    <s v="Apple Event September 2025"/>
  </r>
  <r>
    <s v="A135"/>
    <x v="0"/>
    <d v="2024-11-28T00:00:00"/>
    <x v="3"/>
    <s v="#iPhone16Launch,#AppleEvent"/>
    <x v="134"/>
    <n v="443"/>
    <n v="976"/>
    <n v="869"/>
    <n v="75437"/>
    <n v="161863"/>
    <s v="Sustainability Awareness Drive"/>
  </r>
  <r>
    <s v="A136"/>
    <x v="2"/>
    <d v="2025-10-02T00:00:00"/>
    <x v="3"/>
    <s v="#AppleDesign,#Innovation"/>
    <x v="135"/>
    <n v="736"/>
    <n v="876"/>
    <n v="1233"/>
    <n v="21337"/>
    <n v="50225"/>
    <s v="Apple Event September 2025"/>
  </r>
  <r>
    <s v="A137"/>
    <x v="2"/>
    <d v="2024-07-31T00:00:00"/>
    <x v="3"/>
    <s v="#AppleEvent,#iPadPro"/>
    <x v="136"/>
    <n v="274"/>
    <n v="626"/>
    <n v="2280"/>
    <n v="14639"/>
    <n v="163008"/>
    <s v="iPhone 16 Launch"/>
  </r>
  <r>
    <s v="A138"/>
    <x v="2"/>
    <d v="2025-03-29T00:00:00"/>
    <x v="3"/>
    <s v="#AppleDesign,#Innovation"/>
    <x v="137"/>
    <n v="585"/>
    <n v="743"/>
    <n v="2155"/>
    <n v="3704"/>
    <n v="194268"/>
    <s v="iPhone 16 Launch"/>
  </r>
  <r>
    <s v="A139"/>
    <x v="0"/>
    <d v="2024-10-29T00:00:00"/>
    <x v="1"/>
    <s v="#AppleEvent,#iPhone16"/>
    <x v="138"/>
    <n v="1433"/>
    <n v="372"/>
    <n v="1092"/>
    <n v="32147"/>
    <n v="145823"/>
    <s v="Sustainability Awareness Drive"/>
  </r>
  <r>
    <s v="A140"/>
    <x v="2"/>
    <d v="2024-07-15T00:00:00"/>
    <x v="1"/>
    <s v="#AppleMusic,#AppleLifestyle"/>
    <x v="139"/>
    <n v="674"/>
    <n v="521"/>
    <n v="1091"/>
    <n v="18101"/>
    <n v="53669"/>
    <s v="Apple Watch Ultra 2 Launch"/>
  </r>
  <r>
    <s v="A141"/>
    <x v="1"/>
    <d v="2025-10-03T00:00:00"/>
    <x v="0"/>
    <s v="#iPhone16Launch,#AppleEvent"/>
    <x v="140"/>
    <n v="617"/>
    <n v="551"/>
    <n v="2109"/>
    <n v="18559"/>
    <n v="208452"/>
    <s v="Apple Event September 2025"/>
  </r>
  <r>
    <s v="A142"/>
    <x v="2"/>
    <d v="2025-03-25T00:00:00"/>
    <x v="3"/>
    <s v="#AppleDesign,#Innovation"/>
    <x v="141"/>
    <n v="546"/>
    <n v="592"/>
    <n v="1594"/>
    <n v="38627"/>
    <n v="164398"/>
    <s v="MacBook Air M3 Campaign"/>
  </r>
  <r>
    <s v="A143"/>
    <x v="1"/>
    <d v="2024-10-02T00:00:00"/>
    <x v="0"/>
    <s v="#AppleDesign,#Innovation"/>
    <x v="142"/>
    <n v="839"/>
    <n v="639"/>
    <n v="2839"/>
    <n v="349"/>
    <n v="150677"/>
    <s v="Sustainability Awareness Drive"/>
  </r>
  <r>
    <s v="A144"/>
    <x v="1"/>
    <d v="2024-10-28T00:00:00"/>
    <x v="3"/>
    <s v="#iPhonePhotography,#ShotOniPhone"/>
    <x v="143"/>
    <n v="1138"/>
    <n v="764"/>
    <n v="2555"/>
    <n v="92810"/>
    <n v="88320"/>
    <s v="MacBook Air M3 Campaign"/>
  </r>
  <r>
    <s v="A145"/>
    <x v="1"/>
    <d v="2024-08-12T00:00:00"/>
    <x v="3"/>
    <s v="#MacBookAirM3,#AppleInnovation"/>
    <x v="144"/>
    <n v="1154"/>
    <n v="422"/>
    <n v="1907"/>
    <n v="36874"/>
    <n v="218486"/>
    <s v="Sustainability Awareness Drive"/>
  </r>
  <r>
    <s v="A146"/>
    <x v="0"/>
    <d v="2024-06-05T00:00:00"/>
    <x v="1"/>
    <s v="#iPhonePhotography,#ShotOniPhone"/>
    <x v="145"/>
    <n v="1075"/>
    <n v="675"/>
    <n v="1383"/>
    <n v="17875"/>
    <n v="186649"/>
    <s v="Apple Watch Ultra 2 Launch"/>
  </r>
  <r>
    <s v="A147"/>
    <x v="0"/>
    <d v="2024-10-21T00:00:00"/>
    <x v="1"/>
    <s v="#iPhone16Launch,#AppleEvent"/>
    <x v="146"/>
    <n v="962"/>
    <n v="308"/>
    <n v="2777"/>
    <n v="25529"/>
    <n v="165354"/>
    <s v="Apple Watch Ultra 2 Launch"/>
  </r>
  <r>
    <s v="A148"/>
    <x v="0"/>
    <d v="2025-04-15T00:00:00"/>
    <x v="2"/>
    <s v="#iPhone16Launch,#AppleEvent"/>
    <x v="147"/>
    <n v="1402"/>
    <n v="301"/>
    <n v="1284"/>
    <n v="24620"/>
    <n v="128009"/>
    <s v="Apple Watch Ultra 2 Launch"/>
  </r>
  <r>
    <s v="A149"/>
    <x v="2"/>
    <d v="2024-06-16T00:00:00"/>
    <x v="1"/>
    <s v="#AppleWatchUltra2,#HealthTech"/>
    <x v="148"/>
    <n v="1405"/>
    <n v="769"/>
    <n v="1980"/>
    <n v="33174"/>
    <n v="226481"/>
    <s v="Apple Watch Ultra 2 Launch"/>
  </r>
  <r>
    <s v="A150"/>
    <x v="1"/>
    <d v="2024-08-22T00:00:00"/>
    <x v="2"/>
    <s v="#iPhonePhotography,#ShotOniPhone"/>
    <x v="149"/>
    <n v="863"/>
    <n v="337"/>
    <n v="819"/>
    <n v="85788"/>
    <n v="68625"/>
    <s v="iPhone 16 Launch"/>
  </r>
  <r>
    <s v="A151"/>
    <x v="0"/>
    <d v="2024-07-26T00:00:00"/>
    <x v="2"/>
    <s v="#MacBookProM3"/>
    <x v="150"/>
    <n v="224"/>
    <n v="962"/>
    <n v="890"/>
    <n v="35105"/>
    <n v="64089"/>
    <s v="iPhone 16 Launch"/>
  </r>
  <r>
    <s v="A152"/>
    <x v="0"/>
    <d v="2025-10-04T00:00:00"/>
    <x v="2"/>
    <s v="#Sustainability,#AppleEarth"/>
    <x v="151"/>
    <n v="1403"/>
    <n v="247"/>
    <n v="1350"/>
    <n v="28370"/>
    <n v="76487"/>
    <s v="Apple Event September 2025"/>
  </r>
  <r>
    <s v="A153"/>
    <x v="2"/>
    <d v="2025-01-01T00:00:00"/>
    <x v="2"/>
    <s v="#MacBookAirM3,#AppleInnovation"/>
    <x v="152"/>
    <n v="909"/>
    <n v="280"/>
    <n v="2009"/>
    <n v="6221"/>
    <n v="236910"/>
    <s v="MacBook Air M3 Campaign"/>
  </r>
  <r>
    <s v="A154"/>
    <x v="0"/>
    <d v="2024-10-09T00:00:00"/>
    <x v="2"/>
    <s v="#iPhone16Launch,#AppleEvent"/>
    <x v="153"/>
    <n v="1384"/>
    <n v="954"/>
    <n v="2335"/>
    <n v="6757"/>
    <n v="150448"/>
    <s v="Sustainability Awareness Drive"/>
  </r>
  <r>
    <s v="A155"/>
    <x v="2"/>
    <d v="2024-12-21T00:00:00"/>
    <x v="0"/>
    <s v="#AppleWatchUltra2,#HealthTech"/>
    <x v="154"/>
    <n v="376"/>
    <n v="320"/>
    <n v="2546"/>
    <n v="22617"/>
    <n v="90138"/>
    <s v="Sustainability Awareness Drive"/>
  </r>
  <r>
    <s v="A156"/>
    <x v="3"/>
    <d v="2024-10-22T00:00:00"/>
    <x v="1"/>
    <s v="#AppleMusic,#AppleLifestyle"/>
    <x v="155"/>
    <n v="484"/>
    <n v="332"/>
    <n v="2734"/>
    <n v="43338"/>
    <n v="213895"/>
    <s v="iPhone 16 Launch"/>
  </r>
  <r>
    <s v="A157"/>
    <x v="0"/>
    <d v="2024-07-23T00:00:00"/>
    <x v="2"/>
    <s v="#iPhonePhotography,#ShotOniPhone"/>
    <x v="156"/>
    <n v="262"/>
    <n v="513"/>
    <n v="648"/>
    <n v="47544"/>
    <n v="208280"/>
    <s v="Sustainability Awareness Drive"/>
  </r>
  <r>
    <s v="A158"/>
    <x v="3"/>
    <d v="2024-08-11T00:00:00"/>
    <x v="3"/>
    <s v="#MacBookAirM3,#AppleInnovation"/>
    <x v="157"/>
    <n v="1202"/>
    <n v="188"/>
    <n v="1259"/>
    <n v="21925"/>
    <n v="94061"/>
    <s v="iPhone 16 Launch"/>
  </r>
  <r>
    <s v="A159"/>
    <x v="2"/>
    <d v="2025-10-05T00:00:00"/>
    <x v="1"/>
    <s v="#AppleMusic,#AppleLifestyle"/>
    <x v="158"/>
    <n v="861"/>
    <n v="676"/>
    <n v="2263"/>
    <n v="12085"/>
    <n v="201731"/>
    <s v="Apple Event September 2025"/>
  </r>
  <r>
    <s v="A160"/>
    <x v="1"/>
    <d v="2024-08-24T00:00:00"/>
    <x v="1"/>
    <s v="#iPhonePhotography,#ShotOniPhone"/>
    <x v="159"/>
    <n v="865"/>
    <n v="646"/>
    <n v="992"/>
    <n v="18654"/>
    <n v="141376"/>
    <s v="MacBook Air M3 Campaign"/>
  </r>
  <r>
    <s v="A161"/>
    <x v="0"/>
    <d v="2025-10-06T00:00:00"/>
    <x v="2"/>
    <s v="#AppleDesign,#Innovation"/>
    <x v="160"/>
    <n v="355"/>
    <n v="665"/>
    <n v="1859"/>
    <n v="50565"/>
    <n v="202962"/>
    <s v="Apple Event September 2025"/>
  </r>
  <r>
    <s v="A162"/>
    <x v="2"/>
    <d v="2025-04-01T00:00:00"/>
    <x v="0"/>
    <s v="#AppleMusic,#AppleLifestyle"/>
    <x v="161"/>
    <n v="1272"/>
    <n v="498"/>
    <n v="677"/>
    <n v="47305"/>
    <n v="119134"/>
    <s v="Apple Watch Ultra 2 Launch"/>
  </r>
  <r>
    <s v="A163"/>
    <x v="1"/>
    <d v="2025-04-08T00:00:00"/>
    <x v="2"/>
    <s v="#AppleWatchUltra2,#HealthTech"/>
    <x v="162"/>
    <n v="1166"/>
    <n v="546"/>
    <n v="826"/>
    <n v="21836"/>
    <n v="87055"/>
    <s v="Apple Watch Ultra 2 Launch"/>
  </r>
  <r>
    <s v="A164"/>
    <x v="1"/>
    <d v="2025-02-27T00:00:00"/>
    <x v="0"/>
    <s v="#MacBookAirM3,#AppleInnovation"/>
    <x v="163"/>
    <n v="1048"/>
    <n v="871"/>
    <n v="2553"/>
    <n v="39025"/>
    <n v="59508"/>
    <s v="Apple Watch Ultra 2 Launch"/>
  </r>
  <r>
    <s v="A165"/>
    <x v="3"/>
    <d v="2025-10-07T00:00:00"/>
    <x v="3"/>
    <s v="#AppleWatch,#Health"/>
    <x v="164"/>
    <n v="1307"/>
    <n v="310"/>
    <n v="2802"/>
    <n v="22171"/>
    <n v="213359"/>
    <s v="Apple Event September 2025"/>
  </r>
  <r>
    <s v="A166"/>
    <x v="2"/>
    <d v="2025-02-16T00:00:00"/>
    <x v="1"/>
    <s v="#AppleEvent,#iPhone16"/>
    <x v="165"/>
    <n v="888"/>
    <n v="165"/>
    <n v="1559"/>
    <n v="11596"/>
    <n v="249988"/>
    <s v="Sustainability Awareness Drive"/>
  </r>
  <r>
    <s v="A167"/>
    <x v="1"/>
    <d v="2024-11-28T00:00:00"/>
    <x v="3"/>
    <s v="#AppleEvent,#iPhone16"/>
    <x v="166"/>
    <n v="347"/>
    <n v="642"/>
    <n v="2175"/>
    <n v="56378"/>
    <n v="198056"/>
    <s v="MacBook Air M3 Campaign"/>
  </r>
  <r>
    <s v="A168"/>
    <x v="0"/>
    <d v="2024-11-12T00:00:00"/>
    <x v="0"/>
    <s v="#MacBookAirM3,#AppleInnovation"/>
    <x v="167"/>
    <n v="541"/>
    <n v="575"/>
    <n v="2063"/>
    <n v="42743"/>
    <n v="150169"/>
    <s v="Apple Watch Ultra 2 Launch"/>
  </r>
  <r>
    <s v="A169"/>
    <x v="0"/>
    <d v="2024-12-03T00:00:00"/>
    <x v="0"/>
    <s v="#AppleMusic,#AppleLifestyle"/>
    <x v="168"/>
    <n v="675"/>
    <n v="257"/>
    <n v="820"/>
    <n v="33534"/>
    <n v="48125"/>
    <s v="Apple Watch Ultra 2 Launch"/>
  </r>
  <r>
    <s v="A170"/>
    <x v="3"/>
    <d v="2025-04-28T00:00:00"/>
    <x v="3"/>
    <s v="#iPhonePhotography,#ShotOniPhone"/>
    <x v="169"/>
    <n v="1286"/>
    <n v="599"/>
    <n v="2001"/>
    <n v="67839"/>
    <n v="76059"/>
    <s v="Apple Watch Ultra 2 Launch"/>
  </r>
  <r>
    <s v="A171"/>
    <x v="1"/>
    <d v="2024-12-31T00:00:00"/>
    <x v="0"/>
    <s v="#AppleWatchUltra2,#HealthTech"/>
    <x v="170"/>
    <n v="760"/>
    <n v="460"/>
    <n v="1316"/>
    <n v="18164"/>
    <n v="240641"/>
    <s v="MacBook Air M3 Campaign"/>
  </r>
  <r>
    <s v="A172"/>
    <x v="2"/>
    <d v="2024-08-14T00:00:00"/>
    <x v="3"/>
    <s v="#Sustainability,#AppleEarth"/>
    <x v="171"/>
    <n v="526"/>
    <n v="888"/>
    <n v="1313"/>
    <n v="51605"/>
    <n v="143409"/>
    <s v="Apple Watch Ultra 2 Launch"/>
  </r>
  <r>
    <s v="A173"/>
    <x v="0"/>
    <d v="2024-12-05T00:00:00"/>
    <x v="1"/>
    <s v="#AppleEvent,#iPhone16"/>
    <x v="172"/>
    <n v="1364"/>
    <n v="319"/>
    <n v="2848"/>
    <n v="15379"/>
    <n v="188159"/>
    <s v="MacBook Air M3 Campaign"/>
  </r>
  <r>
    <s v="A174"/>
    <x v="1"/>
    <d v="2024-06-22T00:00:00"/>
    <x v="3"/>
    <s v="#AppleWatchUltra2,#HealthTech"/>
    <x v="173"/>
    <n v="1189"/>
    <n v="695"/>
    <n v="416"/>
    <n v="30229"/>
    <n v="45704"/>
    <s v="Apple Watch Ultra 2 Launch"/>
  </r>
  <r>
    <s v="A175"/>
    <x v="1"/>
    <d v="2025-10-08T00:00:00"/>
    <x v="1"/>
    <s v="#AppleEvent,#iPhone16"/>
    <x v="174"/>
    <n v="414"/>
    <n v="563"/>
    <n v="2733"/>
    <n v="995"/>
    <n v="231648"/>
    <s v="Apple Event September 2025"/>
  </r>
  <r>
    <s v="A176"/>
    <x v="3"/>
    <d v="2025-10-09T00:00:00"/>
    <x v="3"/>
    <s v="#AppleDesign,#Innovation"/>
    <x v="175"/>
    <n v="634"/>
    <n v="400"/>
    <n v="1667"/>
    <n v="75813"/>
    <n v="244456"/>
    <s v="Apple Event September 2025"/>
  </r>
  <r>
    <s v="A177"/>
    <x v="0"/>
    <d v="2024-07-10T00:00:00"/>
    <x v="0"/>
    <s v="#iPhonePhotography,#ShotOniPhone"/>
    <x v="176"/>
    <n v="1151"/>
    <n v="908"/>
    <n v="883"/>
    <n v="42921"/>
    <n v="151279"/>
    <s v="MacBook Air M3 Campaign"/>
  </r>
  <r>
    <s v="A178"/>
    <x v="0"/>
    <d v="2025-10-10T00:00:00"/>
    <x v="3"/>
    <s v="#AppleDesign,#Innovation"/>
    <x v="177"/>
    <n v="922"/>
    <n v="930"/>
    <n v="694"/>
    <n v="839"/>
    <n v="243532"/>
    <s v="Apple Event September 2025"/>
  </r>
  <r>
    <s v="A179"/>
    <x v="2"/>
    <d v="2024-07-15T00:00:00"/>
    <x v="0"/>
    <s v="#AppleEvent,#iPhone16"/>
    <x v="178"/>
    <n v="231"/>
    <n v="290"/>
    <n v="1387"/>
    <n v="63550"/>
    <n v="198280"/>
    <s v="MacBook Air M3 Campaign"/>
  </r>
  <r>
    <s v="A180"/>
    <x v="0"/>
    <d v="2025-10-11T00:00:00"/>
    <x v="3"/>
    <s v="#AppleWatch,#Health"/>
    <x v="179"/>
    <n v="869"/>
    <n v="423"/>
    <n v="371"/>
    <n v="47579"/>
    <n v="158516"/>
    <s v="Apple Event September 2025"/>
  </r>
  <r>
    <s v="A181"/>
    <x v="2"/>
    <d v="2025-10-12T00:00:00"/>
    <x v="3"/>
    <s v="#AppleWatch,#Health"/>
    <x v="180"/>
    <n v="484"/>
    <n v="565"/>
    <n v="573"/>
    <n v="7389"/>
    <n v="237096"/>
    <s v="Apple Event September 2025"/>
  </r>
  <r>
    <s v="A182"/>
    <x v="0"/>
    <d v="2024-07-31T00:00:00"/>
    <x v="2"/>
    <s v="#AppleDesign,#Innovation"/>
    <x v="181"/>
    <n v="628"/>
    <n v="757"/>
    <n v="2313"/>
    <n v="50924"/>
    <n v="210954"/>
    <s v="MacBook Air M3 Campaign"/>
  </r>
  <r>
    <s v="A183"/>
    <x v="3"/>
    <d v="2024-12-17T00:00:00"/>
    <x v="0"/>
    <s v="#AppleWatch,#Health"/>
    <x v="182"/>
    <n v="485"/>
    <n v="888"/>
    <n v="1643"/>
    <n v="4322"/>
    <n v="196995"/>
    <s v="Sustainability Awareness Drive"/>
  </r>
  <r>
    <s v="A184"/>
    <x v="0"/>
    <d v="2025-10-13T00:00:00"/>
    <x v="2"/>
    <s v="#AppleEvent,#iPhone16"/>
    <x v="183"/>
    <n v="1367"/>
    <n v="188"/>
    <n v="637"/>
    <n v="31404"/>
    <n v="154044"/>
    <s v="Apple Event September 2025"/>
  </r>
  <r>
    <s v="A185"/>
    <x v="2"/>
    <d v="2025-01-11T00:00:00"/>
    <x v="0"/>
    <s v="#MacBookAirM3,#AppleInnovation"/>
    <x v="184"/>
    <n v="1242"/>
    <n v="963"/>
    <n v="1689"/>
    <n v="49329"/>
    <n v="69165"/>
    <s v="Apple Watch Ultra 2 Launch"/>
  </r>
  <r>
    <s v="A186"/>
    <x v="2"/>
    <d v="2024-08-24T00:00:00"/>
    <x v="2"/>
    <s v="#AppleDesign,#Innovation"/>
    <x v="185"/>
    <n v="217"/>
    <n v="178"/>
    <n v="906"/>
    <n v="54826"/>
    <n v="107203"/>
    <s v="Sustainability Awareness Drive"/>
  </r>
  <r>
    <s v="A187"/>
    <x v="3"/>
    <d v="2024-12-22T00:00:00"/>
    <x v="1"/>
    <s v="#Sustainability,#AppleEarth"/>
    <x v="186"/>
    <n v="968"/>
    <n v="626"/>
    <n v="465"/>
    <n v="27184"/>
    <n v="44114"/>
    <s v="MacBook Air M3 Campaign"/>
  </r>
  <r>
    <s v="A188"/>
    <x v="0"/>
    <d v="2024-06-06T00:00:00"/>
    <x v="3"/>
    <s v="#Sustainability,#AppleEarth"/>
    <x v="187"/>
    <n v="789"/>
    <n v="467"/>
    <n v="1867"/>
    <n v="40816"/>
    <n v="236037"/>
    <s v="Sustainability Awareness Drive"/>
  </r>
  <r>
    <s v="A189"/>
    <x v="0"/>
    <d v="2025-03-24T00:00:00"/>
    <x v="0"/>
    <s v="#ShotOniPhone"/>
    <x v="188"/>
    <n v="1398"/>
    <n v="394"/>
    <n v="2358"/>
    <n v="59610"/>
    <n v="76321"/>
    <s v="iPhone 16 Launch"/>
  </r>
  <r>
    <s v="A190"/>
    <x v="3"/>
    <d v="2024-10-04T00:00:00"/>
    <x v="0"/>
    <s v="#AppleMusic,#AppleLifestyle"/>
    <x v="189"/>
    <n v="1209"/>
    <n v="897"/>
    <n v="1624"/>
    <n v="38771"/>
    <n v="113297"/>
    <s v="iPhone 16 Launch"/>
  </r>
  <r>
    <s v="A191"/>
    <x v="0"/>
    <d v="2025-10-14T00:00:00"/>
    <x v="3"/>
    <s v="#iPhonePhotography,#ShotOniPhone"/>
    <x v="190"/>
    <n v="393"/>
    <n v="846"/>
    <n v="1028"/>
    <n v="55556"/>
    <n v="136652"/>
    <s v="Apple Event September 2025"/>
  </r>
  <r>
    <s v="A192"/>
    <x v="0"/>
    <d v="2025-10-15T00:00:00"/>
    <x v="0"/>
    <s v="#AppleWatch,#Health"/>
    <x v="191"/>
    <n v="701"/>
    <n v="421"/>
    <n v="2343"/>
    <n v="13588"/>
    <n v="139304"/>
    <s v="Apple Event September 2025"/>
  </r>
  <r>
    <s v="A193"/>
    <x v="2"/>
    <d v="2024-09-11T00:00:00"/>
    <x v="0"/>
    <s v="#AppleWatch,#Health"/>
    <x v="192"/>
    <n v="1187"/>
    <n v="589"/>
    <n v="401"/>
    <n v="52687"/>
    <n v="196498"/>
    <s v="Apple Watch Ultra 2 Launch"/>
  </r>
  <r>
    <s v="A194"/>
    <x v="0"/>
    <d v="2024-10-02T00:00:00"/>
    <x v="2"/>
    <s v="#AppleMusic,#AppleLifestyle"/>
    <x v="193"/>
    <n v="1336"/>
    <n v="897"/>
    <n v="1715"/>
    <n v="60592"/>
    <n v="57772"/>
    <s v="Sustainability Awareness Drive"/>
  </r>
  <r>
    <s v="A195"/>
    <x v="0"/>
    <d v="2024-08-15T00:00:00"/>
    <x v="0"/>
    <s v="#iPhone16Launch,#AppleEvent"/>
    <x v="194"/>
    <n v="313"/>
    <n v="388"/>
    <n v="1078"/>
    <n v="11500"/>
    <n v="143754"/>
    <s v="iPhone 16 Launch"/>
  </r>
  <r>
    <s v="A196"/>
    <x v="3"/>
    <d v="2025-09-18T00:00:00"/>
    <x v="1"/>
    <s v="#MacBookProM3"/>
    <x v="195"/>
    <n v="1445"/>
    <n v="526"/>
    <n v="513"/>
    <n v="18959"/>
    <n v="43712"/>
    <s v="Apple Event September 2025"/>
  </r>
  <r>
    <s v="A197"/>
    <x v="3"/>
    <d v="2024-10-22T00:00:00"/>
    <x v="1"/>
    <s v="#AppleDesign,#Innovation"/>
    <x v="196"/>
    <n v="1146"/>
    <n v="415"/>
    <n v="1411"/>
    <n v="85339"/>
    <n v="172439"/>
    <s v="Sustainability Awareness Drive"/>
  </r>
  <r>
    <s v="A198"/>
    <x v="1"/>
    <d v="2025-09-19T00:00:00"/>
    <x v="3"/>
    <s v="#AppleEvent,#iPadPro"/>
    <x v="197"/>
    <n v="1030"/>
    <n v="508"/>
    <n v="1876"/>
    <n v="8882"/>
    <n v="155142"/>
    <s v="Apple Event September 2025"/>
  </r>
  <r>
    <s v="A199"/>
    <x v="2"/>
    <d v="2025-09-20T00:00:00"/>
    <x v="0"/>
    <s v="#AppleWatch,#Health"/>
    <x v="198"/>
    <n v="1487"/>
    <n v="489"/>
    <n v="2748"/>
    <n v="34685"/>
    <n v="131736"/>
    <s v="Apple Event September 2025"/>
  </r>
  <r>
    <s v="A200"/>
    <x v="0"/>
    <d v="2025-04-07T00:00:00"/>
    <x v="3"/>
    <s v="#iPhonePhotography,#ShotOniPhone"/>
    <x v="199"/>
    <n v="1124"/>
    <n v="538"/>
    <n v="2935"/>
    <n v="69749"/>
    <n v="91924"/>
    <s v="iPhone 16 Launch"/>
  </r>
  <r>
    <s v="A201"/>
    <x v="0"/>
    <d v="2025-01-15T00:00:00"/>
    <x v="1"/>
    <s v="#ShotOniPhone"/>
    <x v="200"/>
    <n v="254"/>
    <n v="726"/>
    <n v="1995"/>
    <n v="14280"/>
    <n v="43726"/>
    <s v="iPhone 16 Launch"/>
  </r>
  <r>
    <s v="A202"/>
    <x v="1"/>
    <d v="2025-09-21T00:00:00"/>
    <x v="0"/>
    <s v="#Sustainability,#AppleEarth"/>
    <x v="201"/>
    <n v="999"/>
    <n v="838"/>
    <n v="891"/>
    <n v="29576"/>
    <n v="129152"/>
    <s v="Apple Event September 2025"/>
  </r>
  <r>
    <s v="A203"/>
    <x v="0"/>
    <d v="2024-11-21T00:00:00"/>
    <x v="0"/>
    <s v="#AppleWatch,#Health"/>
    <x v="202"/>
    <n v="977"/>
    <n v="152"/>
    <n v="1633"/>
    <n v="71447"/>
    <n v="67723"/>
    <s v="MacBook Air M3 Campaign"/>
  </r>
  <r>
    <s v="A204"/>
    <x v="2"/>
    <d v="2025-09-22T00:00:00"/>
    <x v="3"/>
    <s v="#ShotOniPhone"/>
    <x v="203"/>
    <n v="361"/>
    <n v="578"/>
    <n v="1409"/>
    <n v="10569"/>
    <n v="166969"/>
    <s v="Apple Event September 2025"/>
  </r>
  <r>
    <s v="A205"/>
    <x v="1"/>
    <d v="2025-09-23T00:00:00"/>
    <x v="1"/>
    <s v="#AppleEvent,#iPhone16"/>
    <x v="204"/>
    <n v="286"/>
    <n v="291"/>
    <n v="2439"/>
    <n v="45631"/>
    <n v="140494"/>
    <s v="Apple Event September 2025"/>
  </r>
  <r>
    <s v="A206"/>
    <x v="2"/>
    <d v="2024-06-24T00:00:00"/>
    <x v="0"/>
    <s v="#AppleEvent,#iPhone16"/>
    <x v="205"/>
    <n v="254"/>
    <n v="525"/>
    <n v="1013"/>
    <n v="13838"/>
    <n v="180180"/>
    <s v="Apple Watch Ultra 2 Launch"/>
  </r>
  <r>
    <s v="A207"/>
    <x v="1"/>
    <d v="2024-12-29T00:00:00"/>
    <x v="3"/>
    <s v="#MacBookProM3"/>
    <x v="206"/>
    <n v="1401"/>
    <n v="819"/>
    <n v="1235"/>
    <n v="33446"/>
    <n v="248786"/>
    <s v="Apple Watch Ultra 2 Launch"/>
  </r>
  <r>
    <s v="A208"/>
    <x v="1"/>
    <d v="2024-06-24T00:00:00"/>
    <x v="1"/>
    <s v="#MacBookAirM3,#AppleInnovation"/>
    <x v="207"/>
    <n v="1231"/>
    <n v="473"/>
    <n v="2251"/>
    <n v="43705"/>
    <n v="75643"/>
    <s v="Apple Watch Ultra 2 Launch"/>
  </r>
  <r>
    <s v="A209"/>
    <x v="3"/>
    <d v="2025-03-19T00:00:00"/>
    <x v="3"/>
    <s v="#AppleEvent,#iPadPro"/>
    <x v="208"/>
    <n v="1032"/>
    <n v="295"/>
    <n v="541"/>
    <n v="43666"/>
    <n v="202396"/>
    <s v="MacBook Air M3 Campaign"/>
  </r>
  <r>
    <s v="A210"/>
    <x v="2"/>
    <d v="2025-02-19T00:00:00"/>
    <x v="2"/>
    <s v="#iPhone16Launch,#AppleEvent"/>
    <x v="209"/>
    <n v="512"/>
    <n v="442"/>
    <n v="2343"/>
    <n v="2753"/>
    <n v="143896"/>
    <s v="MacBook Air M3 Campaign"/>
  </r>
  <r>
    <s v="A211"/>
    <x v="0"/>
    <d v="2025-09-24T00:00:00"/>
    <x v="0"/>
    <s v="#MacBookProM3"/>
    <x v="210"/>
    <n v="958"/>
    <n v="814"/>
    <n v="301"/>
    <n v="12564"/>
    <n v="179999"/>
    <s v="Apple Event September 2025"/>
  </r>
  <r>
    <s v="A212"/>
    <x v="0"/>
    <d v="2025-03-03T00:00:00"/>
    <x v="2"/>
    <s v="#AppleWatchUltra2,#HealthTech"/>
    <x v="211"/>
    <n v="642"/>
    <n v="581"/>
    <n v="2572"/>
    <n v="38552"/>
    <n v="133680"/>
    <s v="Apple Watch Ultra 2 Launch"/>
  </r>
  <r>
    <s v="A213"/>
    <x v="2"/>
    <d v="2025-05-01T00:00:00"/>
    <x v="1"/>
    <s v="#iPhone16Launch,#AppleEvent"/>
    <x v="212"/>
    <n v="527"/>
    <n v="854"/>
    <n v="2068"/>
    <n v="45632"/>
    <n v="136546"/>
    <s v="MacBook Air M3 Campaign"/>
  </r>
  <r>
    <s v="A214"/>
    <x v="0"/>
    <d v="2024-12-23T00:00:00"/>
    <x v="2"/>
    <s v="#AppleDesign,#Innovation"/>
    <x v="213"/>
    <n v="1277"/>
    <n v="734"/>
    <n v="2249"/>
    <n v="3399"/>
    <n v="193515"/>
    <s v="iPhone 16 Launch"/>
  </r>
  <r>
    <s v="A215"/>
    <x v="0"/>
    <d v="2025-09-25T00:00:00"/>
    <x v="2"/>
    <s v="#iPhonePhotography,#ShotOniPhone"/>
    <x v="214"/>
    <n v="960"/>
    <n v="548"/>
    <n v="2936"/>
    <n v="82543"/>
    <n v="119973"/>
    <s v="Apple Event September 2025"/>
  </r>
  <r>
    <s v="A216"/>
    <x v="2"/>
    <d v="2024-07-29T00:00:00"/>
    <x v="1"/>
    <s v="#AppleWatchUltra2,#HealthTech"/>
    <x v="215"/>
    <n v="1462"/>
    <n v="966"/>
    <n v="2463"/>
    <n v="29689"/>
    <n v="103449"/>
    <s v="Sustainability Awareness Drive"/>
  </r>
  <r>
    <s v="A217"/>
    <x v="1"/>
    <d v="2025-09-26T00:00:00"/>
    <x v="3"/>
    <s v="#AppleWatchUltra2,#HealthTech"/>
    <x v="216"/>
    <n v="1452"/>
    <n v="493"/>
    <n v="1217"/>
    <n v="91440"/>
    <n v="149834"/>
    <s v="Apple Event September 2025"/>
  </r>
  <r>
    <s v="A218"/>
    <x v="2"/>
    <d v="2024-06-11T00:00:00"/>
    <x v="2"/>
    <s v="#MacBookProM3"/>
    <x v="217"/>
    <n v="778"/>
    <n v="289"/>
    <n v="2541"/>
    <n v="14309"/>
    <n v="247815"/>
    <s v="Sustainability Awareness Drive"/>
  </r>
  <r>
    <s v="A219"/>
    <x v="1"/>
    <d v="2025-01-28T00:00:00"/>
    <x v="3"/>
    <s v="#AppleMusic,#AppleLifestyle"/>
    <x v="218"/>
    <n v="1274"/>
    <n v="336"/>
    <n v="389"/>
    <n v="6145"/>
    <n v="231305"/>
    <s v="Apple Watch Ultra 2 Launch"/>
  </r>
  <r>
    <s v="A220"/>
    <x v="0"/>
    <d v="2024-06-02T00:00:00"/>
    <x v="2"/>
    <s v="#MacBookAirM3,#AppleInnovation"/>
    <x v="219"/>
    <n v="1206"/>
    <n v="954"/>
    <n v="2009"/>
    <n v="8"/>
    <n v="65537"/>
    <s v="Sustainability Awareness Drive"/>
  </r>
  <r>
    <s v="A221"/>
    <x v="0"/>
    <d v="2025-03-23T00:00:00"/>
    <x v="3"/>
    <s v="#AppleMusic,#AppleLifestyle"/>
    <x v="220"/>
    <n v="1487"/>
    <n v="210"/>
    <n v="2469"/>
    <n v="30565"/>
    <n v="117576"/>
    <s v="Apple Watch Ultra 2 Launch"/>
  </r>
  <r>
    <s v="A222"/>
    <x v="0"/>
    <d v="2024-10-08T00:00:00"/>
    <x v="1"/>
    <s v="#MacBookProM3"/>
    <x v="221"/>
    <n v="295"/>
    <n v="529"/>
    <n v="442"/>
    <n v="25286"/>
    <n v="147522"/>
    <s v="iPhone 16 Launch"/>
  </r>
  <r>
    <s v="A223"/>
    <x v="3"/>
    <d v="2024-11-12T00:00:00"/>
    <x v="2"/>
    <s v="#AppleDesign,#Innovation"/>
    <x v="222"/>
    <n v="1311"/>
    <n v="859"/>
    <n v="405"/>
    <n v="59842"/>
    <n v="62612"/>
    <s v="Sustainability Awareness Drive"/>
  </r>
  <r>
    <s v="A224"/>
    <x v="1"/>
    <d v="2025-09-07T00:00:00"/>
    <x v="1"/>
    <s v="#Sustainability,#AppleEarth"/>
    <x v="223"/>
    <n v="1301"/>
    <n v="956"/>
    <n v="1186"/>
    <n v="3363"/>
    <n v="46471"/>
    <s v="Apple Event September 2025"/>
  </r>
  <r>
    <s v="A225"/>
    <x v="3"/>
    <d v="2024-06-20T00:00:00"/>
    <x v="2"/>
    <s v="#AppleWatch,#Health"/>
    <x v="224"/>
    <n v="1343"/>
    <n v="589"/>
    <n v="727"/>
    <n v="87833"/>
    <n v="206703"/>
    <s v="Apple Watch Ultra 2 Launch"/>
  </r>
  <r>
    <s v="A226"/>
    <x v="3"/>
    <d v="2025-09-08T00:00:00"/>
    <x v="1"/>
    <s v="#AppleWatch,#Health"/>
    <x v="225"/>
    <n v="1013"/>
    <n v="468"/>
    <n v="1628"/>
    <n v="8272"/>
    <n v="71348"/>
    <s v="Apple Event September 2025"/>
  </r>
  <r>
    <s v="A227"/>
    <x v="2"/>
    <d v="2024-06-12T00:00:00"/>
    <x v="1"/>
    <s v="#MacBookAirM3,#AppleInnovation"/>
    <x v="226"/>
    <n v="690"/>
    <n v="451"/>
    <n v="2195"/>
    <n v="4390"/>
    <n v="235804"/>
    <s v="MacBook Air M3 Campaign"/>
  </r>
  <r>
    <s v="A228"/>
    <x v="3"/>
    <d v="2024-07-01T00:00:00"/>
    <x v="2"/>
    <s v="#AppleDesign,#Innovation"/>
    <x v="227"/>
    <n v="651"/>
    <n v="493"/>
    <n v="2294"/>
    <n v="71696"/>
    <n v="41177"/>
    <s v="Apple Watch Ultra 2 Launch"/>
  </r>
  <r>
    <s v="A229"/>
    <x v="2"/>
    <d v="2024-07-03T00:00:00"/>
    <x v="2"/>
    <s v="#MacBookAirM3,#AppleInnovation"/>
    <x v="228"/>
    <n v="364"/>
    <n v="160"/>
    <n v="616"/>
    <n v="42228"/>
    <n v="175832"/>
    <s v="Sustainability Awareness Drive"/>
  </r>
  <r>
    <s v="A230"/>
    <x v="2"/>
    <d v="2024-07-15T00:00:00"/>
    <x v="2"/>
    <s v="#ShotOniPhone"/>
    <x v="229"/>
    <n v="381"/>
    <n v="211"/>
    <n v="2286"/>
    <n v="50567"/>
    <n v="72779"/>
    <s v="Apple Watch Ultra 2 Launch"/>
  </r>
  <r>
    <s v="A231"/>
    <x v="3"/>
    <d v="2025-09-09T00:00:00"/>
    <x v="0"/>
    <s v="#AppleMusic,#AppleLifestyle"/>
    <x v="230"/>
    <n v="668"/>
    <n v="994"/>
    <n v="934"/>
    <n v="20509"/>
    <n v="61636"/>
    <s v="Apple Event September 2025"/>
  </r>
  <r>
    <s v="A232"/>
    <x v="1"/>
    <d v="2025-04-29T00:00:00"/>
    <x v="3"/>
    <s v="#AppleWatch,#Health"/>
    <x v="231"/>
    <n v="1109"/>
    <n v="375"/>
    <n v="2225"/>
    <n v="1044"/>
    <n v="121889"/>
    <s v="iPhone 16 Launch"/>
  </r>
  <r>
    <s v="A233"/>
    <x v="1"/>
    <d v="2025-03-08T00:00:00"/>
    <x v="0"/>
    <s v="#AppleWatchUltra2,#HealthTech"/>
    <x v="232"/>
    <n v="934"/>
    <n v="302"/>
    <n v="2356"/>
    <n v="37437"/>
    <n v="93551"/>
    <s v="Apple Watch Ultra 2 Launch"/>
  </r>
  <r>
    <s v="A234"/>
    <x v="1"/>
    <d v="2024-06-01T00:00:00"/>
    <x v="0"/>
    <s v="#AppleMusic,#AppleLifestyle"/>
    <x v="39"/>
    <n v="1022"/>
    <n v="860"/>
    <n v="2570"/>
    <n v="23719"/>
    <n v="182628"/>
    <s v="Sustainability Awareness Drive"/>
  </r>
  <r>
    <s v="A235"/>
    <x v="1"/>
    <d v="2024-12-22T00:00:00"/>
    <x v="1"/>
    <s v="#AppleEvent,#iPadPro"/>
    <x v="233"/>
    <n v="1143"/>
    <n v="713"/>
    <n v="1739"/>
    <n v="34444"/>
    <n v="198670"/>
    <s v="MacBook Air M3 Campaign"/>
  </r>
  <r>
    <s v="A236"/>
    <x v="1"/>
    <d v="2024-08-19T00:00:00"/>
    <x v="2"/>
    <s v="#iPhonePhotography,#ShotOniPhone"/>
    <x v="234"/>
    <n v="206"/>
    <n v="921"/>
    <n v="852"/>
    <n v="11660"/>
    <n v="182635"/>
    <s v="iPhone 16 Launch"/>
  </r>
  <r>
    <s v="A237"/>
    <x v="3"/>
    <d v="2024-10-22T00:00:00"/>
    <x v="3"/>
    <s v="#AppleDesign,#Innovation"/>
    <x v="235"/>
    <n v="529"/>
    <n v="720"/>
    <n v="1015"/>
    <n v="71322"/>
    <n v="86819"/>
    <s v="MacBook Air M3 Campaign"/>
  </r>
  <r>
    <s v="A238"/>
    <x v="3"/>
    <d v="2024-07-16T00:00:00"/>
    <x v="1"/>
    <s v="#iPhone16Launch,#AppleEvent"/>
    <x v="236"/>
    <n v="974"/>
    <n v="733"/>
    <n v="1587"/>
    <n v="74927"/>
    <n v="113770"/>
    <s v="Apple Watch Ultra 2 Launch"/>
  </r>
  <r>
    <s v="A239"/>
    <x v="0"/>
    <d v="2025-09-10T00:00:00"/>
    <x v="0"/>
    <s v="#MacBookAirM3,#AppleInnovation"/>
    <x v="237"/>
    <n v="350"/>
    <n v="809"/>
    <n v="2013"/>
    <n v="20471"/>
    <n v="198038"/>
    <s v="Apple Event September 2025"/>
  </r>
  <r>
    <s v="A240"/>
    <x v="1"/>
    <d v="2025-09-11T00:00:00"/>
    <x v="2"/>
    <s v="#AppleMusic,#AppleLifestyle"/>
    <x v="238"/>
    <n v="1308"/>
    <n v="724"/>
    <n v="2183"/>
    <n v="15996"/>
    <n v="230961"/>
    <s v="Apple Event September 2025"/>
  </r>
  <r>
    <s v="A241"/>
    <x v="3"/>
    <d v="2025-01-18T00:00:00"/>
    <x v="1"/>
    <s v="#iPhonePhotography,#ShotOniPhone"/>
    <x v="239"/>
    <n v="346"/>
    <n v="459"/>
    <n v="1407"/>
    <n v="29254"/>
    <n v="198059"/>
    <s v="Sustainability Awareness Drive"/>
  </r>
  <r>
    <s v="A242"/>
    <x v="0"/>
    <d v="2025-09-12T00:00:00"/>
    <x v="2"/>
    <s v="#AppleMusic,#AppleLifestyle"/>
    <x v="240"/>
    <n v="1114"/>
    <n v="392"/>
    <n v="1641"/>
    <n v="28044"/>
    <n v="118714"/>
    <s v="Apple Event September 2025"/>
  </r>
  <r>
    <s v="A243"/>
    <x v="1"/>
    <d v="2025-03-06T00:00:00"/>
    <x v="1"/>
    <s v="#iPhone16Launch,#AppleEvent"/>
    <x v="241"/>
    <n v="899"/>
    <n v="642"/>
    <n v="410"/>
    <n v="49490"/>
    <n v="229420"/>
    <s v="iPhone 16 Launch"/>
  </r>
  <r>
    <s v="A244"/>
    <x v="2"/>
    <d v="2025-09-13T00:00:00"/>
    <x v="2"/>
    <s v="#iPhonePhotography,#ShotOniPhone"/>
    <x v="242"/>
    <n v="281"/>
    <n v="515"/>
    <n v="550"/>
    <n v="22583"/>
    <n v="64596"/>
    <s v="Apple Event September 2025"/>
  </r>
  <r>
    <s v="A245"/>
    <x v="0"/>
    <d v="2025-01-12T00:00:00"/>
    <x v="0"/>
    <s v="#AppleEvent,#iPadPro"/>
    <x v="243"/>
    <n v="713"/>
    <n v="479"/>
    <n v="2730"/>
    <n v="41050"/>
    <n v="204246"/>
    <s v="Sustainability Awareness Drive"/>
  </r>
  <r>
    <s v="A246"/>
    <x v="3"/>
    <d v="2024-10-11T00:00:00"/>
    <x v="3"/>
    <s v="#iPhone16Launch,#AppleEvent"/>
    <x v="244"/>
    <n v="1014"/>
    <n v="256"/>
    <n v="2354"/>
    <n v="5472"/>
    <n v="104106"/>
    <s v="Apple Watch Ultra 2 Launch"/>
  </r>
  <r>
    <s v="A247"/>
    <x v="2"/>
    <d v="2024-08-27T00:00:00"/>
    <x v="0"/>
    <s v="#MacBookProM3"/>
    <x v="245"/>
    <n v="908"/>
    <n v="375"/>
    <n v="758"/>
    <n v="34850"/>
    <n v="241039"/>
    <s v="Apple Watch Ultra 2 Launch"/>
  </r>
  <r>
    <s v="A248"/>
    <x v="2"/>
    <d v="2025-09-14T00:00:00"/>
    <x v="3"/>
    <s v="#AppleEvent,#iPhone16"/>
    <x v="246"/>
    <n v="945"/>
    <n v="974"/>
    <n v="1407"/>
    <n v="4037"/>
    <n v="99182"/>
    <s v="Apple Event September 2025"/>
  </r>
  <r>
    <s v="A249"/>
    <x v="2"/>
    <d v="2024-07-18T00:00:00"/>
    <x v="2"/>
    <s v="#MacBookProM3"/>
    <x v="247"/>
    <n v="1222"/>
    <n v="367"/>
    <n v="507"/>
    <n v="14129"/>
    <n v="127163"/>
    <s v="MacBook Air M3 Campaign"/>
  </r>
  <r>
    <s v="A250"/>
    <x v="0"/>
    <d v="2024-06-22T00:00:00"/>
    <x v="1"/>
    <s v="#AppleWatch,#Health"/>
    <x v="248"/>
    <n v="906"/>
    <n v="902"/>
    <n v="1199"/>
    <n v="68488"/>
    <n v="79310"/>
    <s v="Apple Watch Ultra 2 Launch"/>
  </r>
  <r>
    <s v="A251"/>
    <x v="3"/>
    <d v="2025-09-15T00:00:00"/>
    <x v="0"/>
    <s v="#AppleMusic,#AppleLifestyle"/>
    <x v="249"/>
    <n v="670"/>
    <n v="655"/>
    <n v="321"/>
    <n v="21869"/>
    <n v="96088"/>
    <s v="Apple Event September 2025"/>
  </r>
  <r>
    <s v="A252"/>
    <x v="2"/>
    <d v="2025-04-28T00:00:00"/>
    <x v="3"/>
    <s v="#AppleEvent,#iPhone16"/>
    <x v="250"/>
    <n v="1342"/>
    <n v="408"/>
    <n v="709"/>
    <n v="16309"/>
    <n v="168803"/>
    <s v="Sustainability Awareness Drive"/>
  </r>
  <r>
    <s v="A253"/>
    <x v="1"/>
    <d v="2025-09-16T00:00:00"/>
    <x v="0"/>
    <s v="#MacBookProM3"/>
    <x v="251"/>
    <n v="595"/>
    <n v="923"/>
    <n v="1194"/>
    <n v="52613"/>
    <n v="179978"/>
    <s v="Apple Event September 2025"/>
  </r>
  <r>
    <s v="A254"/>
    <x v="2"/>
    <d v="2025-01-14T00:00:00"/>
    <x v="3"/>
    <s v="#AppleEvent,#iPhone16"/>
    <x v="252"/>
    <n v="460"/>
    <n v="666"/>
    <n v="814"/>
    <n v="21120"/>
    <n v="76914"/>
    <s v="Apple Watch Ultra 2 Launch"/>
  </r>
  <r>
    <s v="A255"/>
    <x v="2"/>
    <d v="2025-04-03T00:00:00"/>
    <x v="0"/>
    <s v="#Sustainability,#AppleEarth"/>
    <x v="253"/>
    <n v="1004"/>
    <n v="922"/>
    <n v="1108"/>
    <n v="36807"/>
    <n v="150350"/>
    <s v="Sustainability Awareness Drive"/>
  </r>
  <r>
    <s v="A256"/>
    <x v="0"/>
    <d v="2025-09-17T00:00:00"/>
    <x v="3"/>
    <s v="#AppleMusic,#AppleLifestyle"/>
    <x v="254"/>
    <n v="1133"/>
    <n v="203"/>
    <n v="1173"/>
    <n v="40125"/>
    <n v="85379"/>
    <s v="Apple Event September 2025"/>
  </r>
  <r>
    <s v="A257"/>
    <x v="0"/>
    <d v="2025-04-06T00:00:00"/>
    <x v="3"/>
    <s v="#AppleEvent,#iPhone16"/>
    <x v="255"/>
    <n v="1479"/>
    <n v="196"/>
    <n v="313"/>
    <n v="48524"/>
    <n v="249684"/>
    <s v="iPhone 16 Launch"/>
  </r>
  <r>
    <s v="A258"/>
    <x v="3"/>
    <d v="2024-08-05T00:00:00"/>
    <x v="2"/>
    <s v="#AppleWatchUltra2,#HealthTech"/>
    <x v="256"/>
    <n v="1104"/>
    <n v="876"/>
    <n v="1270"/>
    <n v="21454"/>
    <n v="208722"/>
    <s v="Sustainability Awareness Drive"/>
  </r>
  <r>
    <s v="A259"/>
    <x v="1"/>
    <d v="2025-02-10T00:00:00"/>
    <x v="3"/>
    <s v="#MacBookAirM3,#AppleInnovation"/>
    <x v="257"/>
    <n v="1449"/>
    <n v="838"/>
    <n v="2434"/>
    <n v="2940"/>
    <n v="217953"/>
    <s v="iPhone 16 Launch"/>
  </r>
  <r>
    <s v="A260"/>
    <x v="0"/>
    <d v="2025-02-12T00:00:00"/>
    <x v="2"/>
    <s v="#MacBookAirM3,#AppleInnovation"/>
    <x v="258"/>
    <n v="1276"/>
    <n v="670"/>
    <n v="1860"/>
    <n v="60397"/>
    <n v="86413"/>
    <s v="MacBook Air M3 Campaign"/>
  </r>
  <r>
    <s v="A261"/>
    <x v="2"/>
    <d v="2024-10-27T00:00:00"/>
    <x v="3"/>
    <s v="#AppleWatchUltra2,#HealthTech"/>
    <x v="259"/>
    <n v="1139"/>
    <n v="248"/>
    <n v="1624"/>
    <n v="72237"/>
    <n v="177084"/>
    <s v="Sustainability Awareness Drive"/>
  </r>
  <r>
    <s v="A262"/>
    <x v="3"/>
    <d v="2025-01-18T00:00:00"/>
    <x v="1"/>
    <s v="#iPhonePhotography,#ShotOniPhone"/>
    <x v="260"/>
    <n v="1053"/>
    <n v="169"/>
    <n v="1566"/>
    <n v="9417"/>
    <n v="221187"/>
    <s v="iPhone 16 Launch"/>
  </r>
  <r>
    <s v="A263"/>
    <x v="2"/>
    <d v="2024-08-20T00:00:00"/>
    <x v="1"/>
    <s v="#ShotOniPhone"/>
    <x v="261"/>
    <n v="792"/>
    <n v="902"/>
    <n v="2469"/>
    <n v="12130"/>
    <n v="47151"/>
    <s v="Apple Watch Ultra 2 Launch"/>
  </r>
  <r>
    <s v="A264"/>
    <x v="2"/>
    <d v="2025-01-30T00:00:00"/>
    <x v="1"/>
    <s v="#iPhonePhotography,#ShotOniPhone"/>
    <x v="262"/>
    <n v="913"/>
    <n v="722"/>
    <n v="1049"/>
    <n v="475"/>
    <n v="97716"/>
    <s v="Apple Watch Ultra 2 Launch"/>
  </r>
  <r>
    <s v="A265"/>
    <x v="0"/>
    <d v="2025-02-20T00:00:00"/>
    <x v="3"/>
    <s v="#iPhone16Launch,#AppleEvent"/>
    <x v="263"/>
    <n v="1381"/>
    <n v="639"/>
    <n v="984"/>
    <n v="10967"/>
    <n v="133747"/>
    <s v="MacBook Air M3 Campaign"/>
  </r>
  <r>
    <s v="A266"/>
    <x v="3"/>
    <d v="2024-11-25T00:00:00"/>
    <x v="2"/>
    <s v="#iPhone16Launch,#AppleEvent"/>
    <x v="264"/>
    <n v="831"/>
    <n v="568"/>
    <n v="2227"/>
    <n v="49351"/>
    <n v="207450"/>
    <s v="Sustainability Awareness Drive"/>
  </r>
  <r>
    <s v="A267"/>
    <x v="1"/>
    <d v="2024-10-04T00:00:00"/>
    <x v="2"/>
    <s v="#AppleEvent,#iPhone16"/>
    <x v="265"/>
    <n v="258"/>
    <n v="839"/>
    <n v="2656"/>
    <n v="66614"/>
    <n v="213724"/>
    <s v="Sustainability Awareness Drive"/>
  </r>
  <r>
    <s v="A268"/>
    <x v="1"/>
    <d v="2025-04-13T00:00:00"/>
    <x v="3"/>
    <s v="#MacBookProM3"/>
    <x v="266"/>
    <n v="327"/>
    <n v="999"/>
    <n v="994"/>
    <n v="59400"/>
    <n v="243502"/>
    <s v="Sustainability Awareness Drive"/>
  </r>
  <r>
    <s v="A269"/>
    <x v="0"/>
    <d v="2024-11-05T00:00:00"/>
    <x v="1"/>
    <s v="#MacBookProM3"/>
    <x v="267"/>
    <n v="935"/>
    <n v="211"/>
    <n v="2635"/>
    <n v="21890"/>
    <n v="184539"/>
    <s v="MacBook Air M3 Campaign"/>
  </r>
  <r>
    <s v="A270"/>
    <x v="0"/>
    <d v="2025-01-15T00:00:00"/>
    <x v="1"/>
    <s v="#MacBookAirM3,#AppleInnovation"/>
    <x v="268"/>
    <n v="920"/>
    <n v="294"/>
    <n v="606"/>
    <n v="59490"/>
    <n v="202082"/>
    <s v="Sustainability Awareness Drive"/>
  </r>
  <r>
    <s v="A271"/>
    <x v="3"/>
    <d v="2024-10-17T00:00:00"/>
    <x v="2"/>
    <s v="#AppleDesign,#Innovation"/>
    <x v="269"/>
    <n v="1338"/>
    <n v="365"/>
    <n v="2289"/>
    <n v="20785"/>
    <n v="161999"/>
    <s v="Apple Watch Ultra 2 Launch"/>
  </r>
  <r>
    <s v="A272"/>
    <x v="1"/>
    <d v="2025-03-27T00:00:00"/>
    <x v="1"/>
    <s v="#iPhonePhotography,#ShotOniPhone"/>
    <x v="270"/>
    <n v="1432"/>
    <n v="152"/>
    <n v="961"/>
    <n v="39154"/>
    <n v="154793"/>
    <s v="iPhone 16 Launch"/>
  </r>
  <r>
    <s v="A273"/>
    <x v="1"/>
    <d v="2024-10-12T00:00:00"/>
    <x v="0"/>
    <s v="#Sustainability,#AppleEarth"/>
    <x v="271"/>
    <n v="725"/>
    <n v="309"/>
    <n v="848"/>
    <n v="39319"/>
    <n v="225763"/>
    <s v="Apple Watch Ultra 2 Launch"/>
  </r>
  <r>
    <s v="A274"/>
    <x v="1"/>
    <d v="2025-01-01T00:00:00"/>
    <x v="2"/>
    <s v="#AppleMusic,#AppleLifestyle"/>
    <x v="272"/>
    <n v="720"/>
    <n v="888"/>
    <n v="611"/>
    <n v="52791"/>
    <n v="235229"/>
    <s v="Apple Watch Ultra 2 Launch"/>
  </r>
  <r>
    <s v="A275"/>
    <x v="2"/>
    <d v="2024-08-05T00:00:00"/>
    <x v="1"/>
    <s v="#AppleWatch,#Health"/>
    <x v="48"/>
    <n v="751"/>
    <n v="930"/>
    <n v="1382"/>
    <n v="16844"/>
    <n v="148177"/>
    <s v="iPhone 16 Launch"/>
  </r>
  <r>
    <s v="A276"/>
    <x v="1"/>
    <d v="2024-06-07T00:00:00"/>
    <x v="2"/>
    <s v="#AppleEvent,#iPadPro"/>
    <x v="273"/>
    <n v="436"/>
    <n v="269"/>
    <n v="2037"/>
    <n v="8875"/>
    <n v="52289"/>
    <s v="Apple Watch Ultra 2 Launch"/>
  </r>
  <r>
    <s v="A277"/>
    <x v="2"/>
    <d v="2025-04-06T00:00:00"/>
    <x v="0"/>
    <s v="#MacBookProM3"/>
    <x v="274"/>
    <n v="1424"/>
    <n v="238"/>
    <n v="1054"/>
    <n v="20516"/>
    <n v="216048"/>
    <s v="MacBook Air M3 Campaign"/>
  </r>
  <r>
    <s v="A278"/>
    <x v="3"/>
    <d v="2024-11-26T00:00:00"/>
    <x v="2"/>
    <s v="#AppleMusic,#AppleLifestyle"/>
    <x v="275"/>
    <n v="1458"/>
    <n v="478"/>
    <n v="334"/>
    <n v="49257"/>
    <n v="214668"/>
    <s v="iPhone 16 Launch"/>
  </r>
  <r>
    <s v="A279"/>
    <x v="2"/>
    <d v="2024-09-02T00:00:00"/>
    <x v="2"/>
    <s v="#AppleEvent,#iPadPro"/>
    <x v="276"/>
    <n v="693"/>
    <n v="729"/>
    <n v="744"/>
    <n v="97772"/>
    <n v="194243"/>
    <s v="Apple Watch Ultra 2 Launch"/>
  </r>
  <r>
    <s v="A280"/>
    <x v="3"/>
    <d v="2025-09-18T00:00:00"/>
    <x v="2"/>
    <s v="#AppleMusic,#AppleLifestyle"/>
    <x v="277"/>
    <n v="203"/>
    <n v="506"/>
    <n v="2440"/>
    <n v="63650"/>
    <n v="126365"/>
    <s v="Apple Event September 2025"/>
  </r>
  <r>
    <s v="A281"/>
    <x v="1"/>
    <d v="2025-03-22T00:00:00"/>
    <x v="2"/>
    <s v="#AppleEvent,#iPhone16"/>
    <x v="278"/>
    <n v="865"/>
    <n v="759"/>
    <n v="2282"/>
    <n v="56125"/>
    <n v="154014"/>
    <s v="Apple Watch Ultra 2 Launch"/>
  </r>
  <r>
    <s v="A282"/>
    <x v="1"/>
    <d v="2024-10-03T00:00:00"/>
    <x v="0"/>
    <s v="#AppleEvent,#iPadPro"/>
    <x v="279"/>
    <n v="641"/>
    <n v="416"/>
    <n v="1530"/>
    <n v="18395"/>
    <n v="215211"/>
    <s v="MacBook Air M3 Campaign"/>
  </r>
  <r>
    <s v="A283"/>
    <x v="3"/>
    <d v="2025-05-09T00:00:00"/>
    <x v="3"/>
    <s v="#AppleWatch,#Health"/>
    <x v="280"/>
    <n v="228"/>
    <n v="766"/>
    <n v="652"/>
    <n v="63789"/>
    <n v="219785"/>
    <s v="Sustainability Awareness Drive"/>
  </r>
  <r>
    <s v="A284"/>
    <x v="0"/>
    <d v="2024-09-17T00:00:00"/>
    <x v="2"/>
    <s v="#AppleMusic,#AppleLifestyle"/>
    <x v="281"/>
    <n v="1332"/>
    <n v="472"/>
    <n v="1202"/>
    <n v="9418"/>
    <n v="200806"/>
    <s v="Apple Watch Ultra 2 Launch"/>
  </r>
  <r>
    <s v="A285"/>
    <x v="3"/>
    <d v="2024-07-18T00:00:00"/>
    <x v="2"/>
    <s v="#AppleWatchUltra2,#HealthTech"/>
    <x v="282"/>
    <n v="809"/>
    <n v="784"/>
    <n v="1655"/>
    <n v="35505"/>
    <n v="112588"/>
    <s v="Sustainability Awareness Drive"/>
  </r>
  <r>
    <s v="A286"/>
    <x v="0"/>
    <d v="2025-09-19T00:00:00"/>
    <x v="1"/>
    <s v="#AppleWatch,#Health"/>
    <x v="283"/>
    <n v="1004"/>
    <n v="690"/>
    <n v="2048"/>
    <n v="19443"/>
    <n v="103646"/>
    <s v="Apple Event September 2025"/>
  </r>
  <r>
    <s v="A287"/>
    <x v="2"/>
    <d v="2024-08-15T00:00:00"/>
    <x v="2"/>
    <s v="#AppleEvent,#iPadPro"/>
    <x v="284"/>
    <n v="274"/>
    <n v="798"/>
    <n v="458"/>
    <n v="6636"/>
    <n v="43654"/>
    <s v="Apple Watch Ultra 2 Launch"/>
  </r>
  <r>
    <s v="A288"/>
    <x v="2"/>
    <d v="2025-04-17T00:00:00"/>
    <x v="1"/>
    <s v="#AppleWatch,#Health"/>
    <x v="11"/>
    <n v="1037"/>
    <n v="344"/>
    <n v="2277"/>
    <n v="85743"/>
    <n v="58743"/>
    <s v="iPhone 16 Launch"/>
  </r>
  <r>
    <s v="A289"/>
    <x v="2"/>
    <d v="2024-11-28T00:00:00"/>
    <x v="3"/>
    <s v="#AppleMusic,#AppleLifestyle"/>
    <x v="285"/>
    <n v="1369"/>
    <n v="887"/>
    <n v="1256"/>
    <n v="43415"/>
    <n v="88368"/>
    <s v="Sustainability Awareness Drive"/>
  </r>
  <r>
    <s v="A290"/>
    <x v="1"/>
    <d v="2025-09-20T00:00:00"/>
    <x v="0"/>
    <s v="#ShotOniPhone"/>
    <x v="286"/>
    <n v="327"/>
    <n v="481"/>
    <n v="2371"/>
    <n v="35340"/>
    <n v="245244"/>
    <s v="Apple Event September 2025"/>
  </r>
  <r>
    <s v="A291"/>
    <x v="2"/>
    <d v="2024-11-06T00:00:00"/>
    <x v="0"/>
    <s v="#AppleMusic,#AppleLifestyle"/>
    <x v="287"/>
    <n v="241"/>
    <n v="319"/>
    <n v="703"/>
    <n v="69596"/>
    <n v="177513"/>
    <s v="iPhone 16 Launch"/>
  </r>
  <r>
    <s v="A292"/>
    <x v="0"/>
    <d v="2024-11-17T00:00:00"/>
    <x v="3"/>
    <s v="#AppleMusic,#AppleLifestyle"/>
    <x v="288"/>
    <n v="240"/>
    <n v="670"/>
    <n v="815"/>
    <n v="11978"/>
    <n v="159735"/>
    <s v="iPhone 16 Launch"/>
  </r>
  <r>
    <s v="A293"/>
    <x v="2"/>
    <d v="2025-05-14T00:00:00"/>
    <x v="0"/>
    <s v="#AppleEvent,#iPhone16"/>
    <x v="289"/>
    <n v="1133"/>
    <n v="612"/>
    <n v="1687"/>
    <n v="28102"/>
    <n v="195683"/>
    <s v="iPhone 16 Launch"/>
  </r>
  <r>
    <s v="A294"/>
    <x v="3"/>
    <d v="2024-06-19T00:00:00"/>
    <x v="3"/>
    <s v="#iPhonePhotography,#ShotOniPhone"/>
    <x v="290"/>
    <n v="233"/>
    <n v="189"/>
    <n v="2879"/>
    <n v="28185"/>
    <n v="159891"/>
    <s v="iPhone 16 Launch"/>
  </r>
  <r>
    <s v="A295"/>
    <x v="3"/>
    <d v="2025-05-06T00:00:00"/>
    <x v="3"/>
    <s v="#AppleWatchUltra2,#HealthTech"/>
    <x v="291"/>
    <n v="1240"/>
    <n v="686"/>
    <n v="1255"/>
    <n v="15403"/>
    <n v="147971"/>
    <s v="Apple Watch Ultra 2 Launch"/>
  </r>
  <r>
    <s v="A296"/>
    <x v="1"/>
    <d v="2025-02-11T00:00:00"/>
    <x v="3"/>
    <s v="#Sustainability,#AppleEarth"/>
    <x v="292"/>
    <n v="1376"/>
    <n v="410"/>
    <n v="2499"/>
    <n v="58146"/>
    <n v="52149"/>
    <s v="Apple Watch Ultra 2 Launch"/>
  </r>
  <r>
    <s v="A297"/>
    <x v="3"/>
    <d v="2024-12-24T00:00:00"/>
    <x v="0"/>
    <s v="#MacBookProM3"/>
    <x v="293"/>
    <n v="1197"/>
    <n v="544"/>
    <n v="2012"/>
    <n v="10245"/>
    <n v="140102"/>
    <s v="Apple Watch Ultra 2 Launch"/>
  </r>
  <r>
    <s v="A298"/>
    <x v="0"/>
    <d v="2025-09-24T00:00:00"/>
    <x v="1"/>
    <s v="#iPhone16Launch,#AppleEvent"/>
    <x v="294"/>
    <n v="787"/>
    <n v="375"/>
    <n v="907"/>
    <n v="85823"/>
    <n v="99189"/>
    <s v="Apple Event September 2025"/>
  </r>
  <r>
    <s v="A299"/>
    <x v="2"/>
    <d v="2025-09-25T00:00:00"/>
    <x v="3"/>
    <s v="#iPhonePhotography,#ShotOniPhone"/>
    <x v="295"/>
    <n v="541"/>
    <n v="273"/>
    <n v="2767"/>
    <n v="22331"/>
    <n v="192747"/>
    <s v="Apple Event September 2025"/>
  </r>
  <r>
    <s v="A300"/>
    <x v="1"/>
    <d v="2025-09-26T00:00:00"/>
    <x v="2"/>
    <s v="#iPhone16Launch,#AppleEvent"/>
    <x v="106"/>
    <n v="226"/>
    <n v="187"/>
    <n v="1573"/>
    <n v="62688"/>
    <n v="111031"/>
    <s v="Apple Event September 20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B86C04-81BF-4126-BDED-EB39EED03EAB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latform " colHeaderCaption="content type">
  <location ref="A3:P10" firstHeaderRow="1" firstDataRow="3" firstDataCol="1"/>
  <pivotFields count="12">
    <pivotField showAll="0"/>
    <pivotField axis="axisRow" showAll="0">
      <items count="5">
        <item x="2"/>
        <item x="1"/>
        <item x="3"/>
        <item x="0"/>
        <item t="default"/>
      </items>
    </pivotField>
    <pivotField numFmtId="14" showAll="0"/>
    <pivotField axis="axisCol" showAll="0">
      <items count="5">
        <item x="3"/>
        <item x="0"/>
        <item x="1"/>
        <item x="2"/>
        <item t="default"/>
      </items>
    </pivotField>
    <pivotField showAll="0"/>
    <pivotField dataField="1" showAll="0">
      <items count="297">
        <item x="11"/>
        <item x="168"/>
        <item x="254"/>
        <item x="166"/>
        <item x="30"/>
        <item x="31"/>
        <item x="132"/>
        <item x="261"/>
        <item x="14"/>
        <item x="199"/>
        <item x="77"/>
        <item x="294"/>
        <item x="187"/>
        <item x="3"/>
        <item x="234"/>
        <item x="292"/>
        <item x="227"/>
        <item x="277"/>
        <item x="192"/>
        <item x="278"/>
        <item x="48"/>
        <item x="172"/>
        <item x="15"/>
        <item x="288"/>
        <item x="223"/>
        <item x="243"/>
        <item x="1"/>
        <item x="193"/>
        <item x="131"/>
        <item x="57"/>
        <item x="207"/>
        <item x="40"/>
        <item x="232"/>
        <item x="115"/>
        <item x="141"/>
        <item x="19"/>
        <item x="109"/>
        <item x="133"/>
        <item x="271"/>
        <item x="113"/>
        <item x="245"/>
        <item x="64"/>
        <item x="161"/>
        <item x="53"/>
        <item x="177"/>
        <item x="205"/>
        <item x="95"/>
        <item x="80"/>
        <item x="140"/>
        <item x="8"/>
        <item x="42"/>
        <item x="96"/>
        <item x="69"/>
        <item x="100"/>
        <item x="54"/>
        <item x="181"/>
        <item x="13"/>
        <item x="180"/>
        <item x="153"/>
        <item x="291"/>
        <item x="248"/>
        <item x="259"/>
        <item x="112"/>
        <item x="235"/>
        <item x="6"/>
        <item x="196"/>
        <item x="186"/>
        <item x="37"/>
        <item x="47"/>
        <item x="124"/>
        <item x="209"/>
        <item x="202"/>
        <item x="273"/>
        <item x="123"/>
        <item x="119"/>
        <item x="114"/>
        <item x="272"/>
        <item x="206"/>
        <item x="214"/>
        <item x="144"/>
        <item x="267"/>
        <item x="221"/>
        <item x="236"/>
        <item x="176"/>
        <item x="84"/>
        <item x="191"/>
        <item x="22"/>
        <item x="89"/>
        <item x="85"/>
        <item x="21"/>
        <item x="143"/>
        <item x="280"/>
        <item x="78"/>
        <item x="289"/>
        <item x="101"/>
        <item x="59"/>
        <item x="28"/>
        <item x="121"/>
        <item x="211"/>
        <item x="190"/>
        <item x="110"/>
        <item x="218"/>
        <item x="88"/>
        <item x="171"/>
        <item x="195"/>
        <item x="188"/>
        <item x="32"/>
        <item x="212"/>
        <item x="16"/>
        <item x="67"/>
        <item x="129"/>
        <item x="293"/>
        <item x="68"/>
        <item x="250"/>
        <item x="29"/>
        <item x="170"/>
        <item x="253"/>
        <item x="247"/>
        <item x="268"/>
        <item x="86"/>
        <item x="93"/>
        <item x="276"/>
        <item x="210"/>
        <item x="36"/>
        <item x="287"/>
        <item x="128"/>
        <item x="56"/>
        <item x="70"/>
        <item x="10"/>
        <item x="148"/>
        <item x="135"/>
        <item x="228"/>
        <item x="65"/>
        <item x="90"/>
        <item x="198"/>
        <item x="98"/>
        <item x="27"/>
        <item x="62"/>
        <item x="154"/>
        <item x="155"/>
        <item x="151"/>
        <item x="229"/>
        <item x="295"/>
        <item x="239"/>
        <item x="246"/>
        <item x="41"/>
        <item x="262"/>
        <item x="136"/>
        <item x="76"/>
        <item x="208"/>
        <item x="173"/>
        <item x="237"/>
        <item x="125"/>
        <item x="116"/>
        <item x="79"/>
        <item x="219"/>
        <item x="117"/>
        <item x="49"/>
        <item x="157"/>
        <item x="275"/>
        <item x="127"/>
        <item x="5"/>
        <item x="34"/>
        <item x="197"/>
        <item x="55"/>
        <item x="270"/>
        <item x="139"/>
        <item x="217"/>
        <item x="274"/>
        <item x="284"/>
        <item x="169"/>
        <item x="242"/>
        <item x="83"/>
        <item x="258"/>
        <item x="44"/>
        <item x="194"/>
        <item x="17"/>
        <item x="162"/>
        <item x="179"/>
        <item x="263"/>
        <item x="142"/>
        <item x="265"/>
        <item x="24"/>
        <item x="255"/>
        <item x="240"/>
        <item x="251"/>
        <item x="149"/>
        <item x="163"/>
        <item x="231"/>
        <item x="257"/>
        <item x="216"/>
        <item x="111"/>
        <item x="58"/>
        <item x="60"/>
        <item x="18"/>
        <item x="282"/>
        <item x="178"/>
        <item x="38"/>
        <item x="204"/>
        <item x="33"/>
        <item x="122"/>
        <item x="75"/>
        <item x="264"/>
        <item x="45"/>
        <item x="226"/>
        <item x="220"/>
        <item x="174"/>
        <item x="82"/>
        <item x="222"/>
        <item x="150"/>
        <item x="249"/>
        <item x="203"/>
        <item x="102"/>
        <item x="269"/>
        <item x="213"/>
        <item x="61"/>
        <item x="7"/>
        <item x="285"/>
        <item x="175"/>
        <item x="145"/>
        <item x="167"/>
        <item x="134"/>
        <item x="51"/>
        <item x="120"/>
        <item x="63"/>
        <item x="230"/>
        <item x="183"/>
        <item x="2"/>
        <item x="244"/>
        <item x="66"/>
        <item x="164"/>
        <item x="201"/>
        <item x="91"/>
        <item x="39"/>
        <item x="26"/>
        <item x="182"/>
        <item x="233"/>
        <item x="9"/>
        <item x="130"/>
        <item x="118"/>
        <item x="200"/>
        <item x="35"/>
        <item x="281"/>
        <item x="290"/>
        <item x="99"/>
        <item x="146"/>
        <item x="256"/>
        <item x="147"/>
        <item x="224"/>
        <item x="184"/>
        <item x="73"/>
        <item x="106"/>
        <item x="12"/>
        <item x="158"/>
        <item x="97"/>
        <item x="4"/>
        <item x="189"/>
        <item x="74"/>
        <item x="104"/>
        <item x="238"/>
        <item x="107"/>
        <item x="160"/>
        <item x="241"/>
        <item x="283"/>
        <item x="20"/>
        <item x="25"/>
        <item x="159"/>
        <item x="43"/>
        <item x="215"/>
        <item x="279"/>
        <item x="92"/>
        <item x="260"/>
        <item x="81"/>
        <item x="72"/>
        <item x="50"/>
        <item x="23"/>
        <item x="94"/>
        <item x="137"/>
        <item x="225"/>
        <item x="105"/>
        <item x="52"/>
        <item x="138"/>
        <item x="165"/>
        <item x="252"/>
        <item x="108"/>
        <item x="126"/>
        <item x="286"/>
        <item x="0"/>
        <item x="152"/>
        <item x="87"/>
        <item x="266"/>
        <item x="103"/>
        <item x="156"/>
        <item x="185"/>
        <item x="71"/>
        <item x="46"/>
        <item t="default"/>
      </items>
    </pivotField>
    <pivotField dataField="1" showAll="0"/>
    <pivotField dataField="1"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2">
    <field x="3"/>
    <field x="-2"/>
  </colFields>
  <colItems count="15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Likes" fld="5" baseField="0" baseItem="0"/>
    <dataField name="Sum of Shares" fld="6" baseField="0" baseItem="0"/>
    <dataField name="Sum of Comment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1FB752-1751-4B0F-A9A9-8611F755EB77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21" firstHeaderRow="1" firstDataRow="1" firstDataCol="1"/>
  <pivotFields count="2">
    <pivotField axis="axisRow" allDrilled="1" subtotalTop="0" showAll="0" dataSourceSort="1" defaultSubtotal="0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dataField="1" subtotalTop="0" showAll="0" defaultSubtotal="0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avg click" fld="1" subtotal="average" baseField="0" baseItem="0"/>
  </dataFields>
  <pivotHierarchies count="10"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g click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osts 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FC6FBC-C017-462E-91B8-18074B786311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21" firstHeaderRow="1" firstDataRow="1" firstDataCol="1"/>
  <pivotFields count="2">
    <pivotField axis="axisRow" allDrilled="1" subtotalTop="0" showAll="0" sortType="descending" defaultSubtotal="0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20">
    <i>
      <x v="13"/>
    </i>
    <i>
      <x v="2"/>
    </i>
    <i>
      <x v="12"/>
    </i>
    <i>
      <x v="8"/>
    </i>
    <i>
      <x v="6"/>
    </i>
    <i>
      <x v="17"/>
    </i>
    <i>
      <x v="14"/>
    </i>
    <i>
      <x v="5"/>
    </i>
    <i>
      <x v="4"/>
    </i>
    <i>
      <x/>
    </i>
    <i>
      <x v="10"/>
    </i>
    <i>
      <x v="7"/>
    </i>
    <i>
      <x v="9"/>
    </i>
    <i>
      <x v="3"/>
    </i>
    <i>
      <x v="15"/>
    </i>
    <i>
      <x v="11"/>
    </i>
    <i>
      <x v="16"/>
    </i>
    <i>
      <x v="18"/>
    </i>
    <i>
      <x v="1"/>
    </i>
    <i t="grand">
      <x/>
    </i>
  </rowItems>
  <colItems count="1">
    <i/>
  </colItems>
  <dataFields count="1">
    <dataField name="avg  engegement rate" fld="1" subtotal="average" baseField="0" baseItem="0"/>
  </dataFields>
  <pivotHierarchies count="10"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g click"/>
    <pivotHierarchy dragToData="1"/>
    <pivotHierarchy dragToData="1" caption="avg  engegement rate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osts 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25ACD5E-B58C-4392-AF4B-6CC6E08E6AE4}" autoFormatId="16" applyNumberFormats="0" applyBorderFormats="0" applyFontFormats="0" applyPatternFormats="0" applyAlignmentFormats="0" applyWidthHeightFormats="0">
  <queryTableRefresh nextId="13">
    <queryTableFields count="12">
      <queryTableField id="1" name="PostID" tableColumnId="1"/>
      <queryTableField id="2" name="Platform" tableColumnId="2"/>
      <queryTableField id="3" name="Date" tableColumnId="3"/>
      <queryTableField id="4" name="ContentType" tableColumnId="4"/>
      <queryTableField id="5" name="Hashtags" tableColumnId="5"/>
      <queryTableField id="6" name="Likes" tableColumnId="6"/>
      <queryTableField id="7" name="Shares" tableColumnId="7"/>
      <queryTableField id="8" name="Comments" tableColumnId="8"/>
      <queryTableField id="9" name="Clicks" tableColumnId="9"/>
      <queryTableField id="10" name="Reach" tableColumnId="10"/>
      <queryTableField id="11" name="Impressions" tableColumnId="11"/>
      <queryTableField id="12" name="Campaign" tableColumnId="12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C78729-E35F-4020-82A2-85E1A822E1F2}" name="Table2" displayName="Table2" ref="A1:H301" totalsRowShown="0">
  <autoFilter ref="A1:H301" xr:uid="{C6C78729-E35F-4020-82A2-85E1A822E1F2}"/>
  <tableColumns count="8">
    <tableColumn id="1" xr3:uid="{2B24CB86-F132-490C-8C18-4FA65BAB7FC3}" name="PostID" dataDxfId="16"/>
    <tableColumn id="2" xr3:uid="{DC9563FE-51A1-43EC-A29E-735199AAFAB6}" name="Platform" dataDxfId="15"/>
    <tableColumn id="3" xr3:uid="{88A4660C-883D-41DB-9458-604E96AC131B}" name="Date" dataDxfId="14"/>
    <tableColumn id="4" xr3:uid="{0BA18590-2936-46F3-B1BC-4CDBE8C07559}" name="Likes" dataDxfId="13"/>
    <tableColumn id="5" xr3:uid="{F3AB649E-3803-4680-B492-DFA96C943FEB}" name="Shares" dataDxfId="12"/>
    <tableColumn id="6" xr3:uid="{5FD650F0-0A03-449A-99D5-17A50A01C883}" name="Comments" dataDxfId="11"/>
    <tableColumn id="7" xr3:uid="{656506B2-ED5B-47DB-8FCA-199C7D2BF6B9}" name="Impressions" dataDxfId="10"/>
    <tableColumn id="8" xr3:uid="{FA695247-A800-4A9A-AFE7-A4F9E4F54E60}" name="engegment rate" dataDxfId="9">
      <calculatedColumnFormula>Table2[[#This Row],[Likes]]+Table2[[#This Row],[Shares]]+Table2[[#This Row],[Comments]]/Table2[[#This Row],[Impressions]]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3B7B9A0-4B33-40E8-82C2-849A4EA720F1}" name="Table4" displayName="Table4" ref="A1:B301" totalsRowShown="0">
  <autoFilter ref="A1:B301" xr:uid="{F3B7B9A0-4B33-40E8-82C2-849A4EA720F1}">
    <filterColumn colId="1">
      <top10 val="10" filterVal="25139.002463030534"/>
    </filterColumn>
  </autoFilter>
  <tableColumns count="2">
    <tableColumn id="1" xr3:uid="{E01BECAD-39B4-43C5-BD63-DC2ECEB70A27}" name="PostID" dataDxfId="8"/>
    <tableColumn id="2" xr3:uid="{2493900B-8458-44A7-988B-8D899B6BA398}" name="engegment rate" dataDxfId="7">
      <calculatedColumnFormula>Table2[[#This Row],[Likes]]+Table2[[#This Row],[Shares]]+Table2[[#This Row],[Comments]]/Table2[[#This Row],[Impressions]]</calculatedColumnFormula>
    </tableColumn>
  </tableColumns>
  <tableStyleInfo name="TableStyleLight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A8205A-5E48-4D53-A35E-B26C1BB83149}" name="Posts" displayName="Posts" ref="A1:L301" tableType="queryTable" totalsRowShown="0">
  <autoFilter ref="A1:L301" xr:uid="{8FA8205A-5E48-4D53-A35E-B26C1BB83149}"/>
  <tableColumns count="12">
    <tableColumn id="1" xr3:uid="{A574BEEF-75D1-490A-88EA-61F7CDDAFF4C}" uniqueName="1" name="PostID" queryTableFieldId="1" dataDxfId="6"/>
    <tableColumn id="2" xr3:uid="{4CF3EBF1-B345-41E0-8849-4BF05BAFE3B9}" uniqueName="2" name="Platform" queryTableFieldId="2" dataDxfId="5"/>
    <tableColumn id="3" xr3:uid="{0FD8E6C8-4FDB-42E4-822C-D88F7462E1A2}" uniqueName="3" name="Date" queryTableFieldId="3" dataDxfId="4"/>
    <tableColumn id="4" xr3:uid="{3484464C-30EF-46BB-AA8A-D099DFE88B0E}" uniqueName="4" name="ContentType" queryTableFieldId="4" dataDxfId="3"/>
    <tableColumn id="5" xr3:uid="{3F8B5010-800D-41B7-BC3E-A5DB94435FC3}" uniqueName="5" name="Hashtags" queryTableFieldId="5" dataDxfId="2"/>
    <tableColumn id="6" xr3:uid="{CC462ACC-9A73-46E6-BD59-1B56B12780F4}" uniqueName="6" name="Likes" queryTableFieldId="6"/>
    <tableColumn id="7" xr3:uid="{0B0DF3B3-6FA3-47A4-8609-0F6C34305B81}" uniqueName="7" name="Shares" queryTableFieldId="7"/>
    <tableColumn id="8" xr3:uid="{5BF47558-D283-4A59-B742-FB71B56AC4E8}" uniqueName="8" name="Comments" queryTableFieldId="8"/>
    <tableColumn id="9" xr3:uid="{28258918-9E12-4A02-A05E-356AF861C408}" uniqueName="9" name="Clicks" queryTableFieldId="9"/>
    <tableColumn id="10" xr3:uid="{1234B0B5-07F7-480D-846E-7FCAA733B643}" uniqueName="10" name="Reach" queryTableFieldId="10"/>
    <tableColumn id="11" xr3:uid="{104E6241-0BEF-45AC-8E69-9886BB3C41B7}" uniqueName="11" name="Impressions" queryTableFieldId="11"/>
    <tableColumn id="12" xr3:uid="{31467038-B0D7-430F-8984-C56E7563338B}" uniqueName="12" name="Campaign" queryTableFieldId="12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A9026-7D1F-4F8C-9697-6E9FE28D7D60}">
  <dimension ref="A1:L301"/>
  <sheetViews>
    <sheetView workbookViewId="0">
      <selection activeCell="L15" sqref="L15"/>
    </sheetView>
  </sheetViews>
  <sheetFormatPr defaultRowHeight="14.5" x14ac:dyDescent="0.35"/>
  <cols>
    <col min="1" max="1" width="8.54296875" bestFit="1" customWidth="1"/>
    <col min="2" max="2" width="10.26953125" bestFit="1" customWidth="1"/>
    <col min="3" max="3" width="10.08984375" bestFit="1" customWidth="1"/>
    <col min="4" max="4" width="8.36328125" style="4" bestFit="1" customWidth="1"/>
    <col min="5" max="5" width="8.81640625" style="4" bestFit="1" customWidth="1"/>
    <col min="6" max="6" width="12.26953125" style="4" bestFit="1" customWidth="1"/>
    <col min="7" max="7" width="13.36328125" style="4" bestFit="1" customWidth="1"/>
    <col min="8" max="8" width="16.08984375" style="4" bestFit="1" customWidth="1"/>
    <col min="11" max="11" width="18.08984375" bestFit="1" customWidth="1"/>
    <col min="12" max="12" width="40.7265625" bestFit="1" customWidth="1"/>
  </cols>
  <sheetData>
    <row r="1" spans="1:12" x14ac:dyDescent="0.35">
      <c r="A1" t="s">
        <v>23</v>
      </c>
      <c r="B1" t="s">
        <v>24</v>
      </c>
      <c r="C1" t="s">
        <v>25</v>
      </c>
      <c r="D1" s="4" t="s">
        <v>28</v>
      </c>
      <c r="E1" s="4" t="s">
        <v>29</v>
      </c>
      <c r="F1" s="4" t="s">
        <v>30</v>
      </c>
      <c r="G1" s="4" t="s">
        <v>33</v>
      </c>
      <c r="H1" s="4" t="s">
        <v>358</v>
      </c>
    </row>
    <row r="2" spans="1:12" x14ac:dyDescent="0.35">
      <c r="A2" t="s">
        <v>35</v>
      </c>
      <c r="B2" t="s">
        <v>36</v>
      </c>
      <c r="C2" s="3">
        <v>45649</v>
      </c>
      <c r="D2" s="4">
        <v>24516</v>
      </c>
      <c r="E2" s="4">
        <v>976</v>
      </c>
      <c r="F2" s="4">
        <v>974</v>
      </c>
      <c r="G2" s="4">
        <v>202932</v>
      </c>
      <c r="H2" s="4">
        <f>Table2[[#This Row],[Likes]]+Table2[[#This Row],[Shares]]+Table2[[#This Row],[Comments]]/Table2[[#This Row],[Impressions]]</f>
        <v>25492.004799637318</v>
      </c>
    </row>
    <row r="3" spans="1:12" x14ac:dyDescent="0.35">
      <c r="A3" t="s">
        <v>40</v>
      </c>
      <c r="B3" t="s">
        <v>41</v>
      </c>
      <c r="C3" s="3">
        <v>45903</v>
      </c>
      <c r="D3" s="4">
        <v>4779</v>
      </c>
      <c r="E3" s="4">
        <v>1110</v>
      </c>
      <c r="F3" s="4">
        <v>436</v>
      </c>
      <c r="G3" s="4">
        <v>71585</v>
      </c>
      <c r="H3" s="4">
        <f>Table2[[#This Row],[Likes]]+Table2[[#This Row],[Shares]]+Table2[[#This Row],[Comments]]/Table2[[#This Row],[Impressions]]</f>
        <v>5889.0060906614517</v>
      </c>
    </row>
    <row r="4" spans="1:12" x14ac:dyDescent="0.35">
      <c r="A4" t="s">
        <v>44</v>
      </c>
      <c r="B4" t="s">
        <v>45</v>
      </c>
      <c r="C4" s="3">
        <v>45789</v>
      </c>
      <c r="D4" s="4">
        <v>19308</v>
      </c>
      <c r="E4" s="4">
        <v>1318</v>
      </c>
      <c r="F4" s="4">
        <v>795</v>
      </c>
      <c r="G4" s="4">
        <v>193087</v>
      </c>
      <c r="H4" s="4">
        <f>Table2[[#This Row],[Likes]]+Table2[[#This Row],[Shares]]+Table2[[#This Row],[Comments]]/Table2[[#This Row],[Impressions]]</f>
        <v>20626.004117314991</v>
      </c>
      <c r="J4" s="8" t="s">
        <v>359</v>
      </c>
      <c r="K4" s="8" t="s">
        <v>360</v>
      </c>
    </row>
    <row r="5" spans="1:12" x14ac:dyDescent="0.35">
      <c r="A5" t="s">
        <v>49</v>
      </c>
      <c r="B5" t="s">
        <v>36</v>
      </c>
      <c r="C5" s="3">
        <v>45516</v>
      </c>
      <c r="D5" s="4">
        <v>3581</v>
      </c>
      <c r="E5" s="4">
        <v>517</v>
      </c>
      <c r="F5" s="4">
        <v>880</v>
      </c>
      <c r="G5" s="4">
        <v>248611</v>
      </c>
      <c r="H5" s="4">
        <f>Table2[[#This Row],[Likes]]+Table2[[#This Row],[Shares]]+Table2[[#This Row],[Comments]]/Table2[[#This Row],[Impressions]]</f>
        <v>4098.0035396663861</v>
      </c>
      <c r="J5" s="6" t="s">
        <v>36</v>
      </c>
      <c r="K5" s="7">
        <f>AVERAGEIF(B:B,J5,H:H)/1000</f>
        <v>13.191147409535382</v>
      </c>
    </row>
    <row r="6" spans="1:12" x14ac:dyDescent="0.35">
      <c r="A6" t="s">
        <v>53</v>
      </c>
      <c r="B6" t="s">
        <v>36</v>
      </c>
      <c r="C6" s="3">
        <v>45904</v>
      </c>
      <c r="D6" s="4">
        <v>21708</v>
      </c>
      <c r="E6" s="4">
        <v>435</v>
      </c>
      <c r="F6" s="4">
        <v>317</v>
      </c>
      <c r="G6" s="4">
        <v>83585</v>
      </c>
      <c r="H6" s="4">
        <f>Table2[[#This Row],[Likes]]+Table2[[#This Row],[Shares]]+Table2[[#This Row],[Comments]]/Table2[[#This Row],[Impressions]]</f>
        <v>22143.003792546511</v>
      </c>
      <c r="J6" s="6" t="s">
        <v>41</v>
      </c>
      <c r="K6" s="7">
        <f>AVERAGEIF(B:B,J6,H:H)/100</f>
        <v>148.80572913430547</v>
      </c>
    </row>
    <row r="7" spans="1:12" x14ac:dyDescent="0.35">
      <c r="A7" t="s">
        <v>54</v>
      </c>
      <c r="B7" t="s">
        <v>41</v>
      </c>
      <c r="C7" s="3">
        <v>45905</v>
      </c>
      <c r="D7" s="4">
        <v>14677</v>
      </c>
      <c r="E7" s="4">
        <v>533</v>
      </c>
      <c r="F7" s="4">
        <v>759</v>
      </c>
      <c r="G7" s="4">
        <v>66958</v>
      </c>
      <c r="H7" s="4">
        <f>Table2[[#This Row],[Likes]]+Table2[[#This Row],[Shares]]+Table2[[#This Row],[Comments]]/Table2[[#This Row],[Impressions]]</f>
        <v>15210.011335464022</v>
      </c>
      <c r="I7" s="4"/>
      <c r="J7" s="6" t="s">
        <v>45</v>
      </c>
      <c r="K7" s="7">
        <f t="shared" ref="K7:K8" si="0">AVERAGEIF(B:B,J7,H:H)/100</f>
        <v>136.54072657640663</v>
      </c>
    </row>
    <row r="8" spans="1:12" x14ac:dyDescent="0.35">
      <c r="A8" t="s">
        <v>55</v>
      </c>
      <c r="B8" t="s">
        <v>45</v>
      </c>
      <c r="C8" s="3">
        <v>45467</v>
      </c>
      <c r="D8" s="4">
        <v>7713</v>
      </c>
      <c r="E8" s="4">
        <v>575</v>
      </c>
      <c r="F8" s="4">
        <v>417</v>
      </c>
      <c r="G8" s="4">
        <v>66017</v>
      </c>
      <c r="H8" s="4">
        <f>Table2[[#This Row],[Likes]]+Table2[[#This Row],[Shares]]+Table2[[#This Row],[Comments]]/Table2[[#This Row],[Impressions]]</f>
        <v>8288.0063165548272</v>
      </c>
      <c r="J8" s="6" t="s">
        <v>62</v>
      </c>
      <c r="K8" s="7">
        <f t="shared" si="0"/>
        <v>161.36534714749575</v>
      </c>
    </row>
    <row r="9" spans="1:12" x14ac:dyDescent="0.35">
      <c r="A9" t="s">
        <v>58</v>
      </c>
      <c r="B9" t="s">
        <v>45</v>
      </c>
      <c r="C9" s="3">
        <v>45486</v>
      </c>
      <c r="D9" s="4">
        <v>18639</v>
      </c>
      <c r="E9" s="4">
        <v>1360</v>
      </c>
      <c r="F9" s="4">
        <v>898</v>
      </c>
      <c r="G9" s="4">
        <v>247779</v>
      </c>
      <c r="H9" s="4">
        <f>Table2[[#This Row],[Likes]]+Table2[[#This Row],[Shares]]+Table2[[#This Row],[Comments]]/Table2[[#This Row],[Impressions]]</f>
        <v>19999.003624197368</v>
      </c>
    </row>
    <row r="10" spans="1:12" x14ac:dyDescent="0.35">
      <c r="A10" t="s">
        <v>60</v>
      </c>
      <c r="B10" t="s">
        <v>36</v>
      </c>
      <c r="C10" s="3">
        <v>45534</v>
      </c>
      <c r="D10" s="4">
        <v>6804</v>
      </c>
      <c r="E10" s="4">
        <v>787</v>
      </c>
      <c r="F10" s="4">
        <v>970</v>
      </c>
      <c r="G10" s="4">
        <v>164677</v>
      </c>
      <c r="H10" s="4">
        <f>Table2[[#This Row],[Likes]]+Table2[[#This Row],[Shares]]+Table2[[#This Row],[Comments]]/Table2[[#This Row],[Impressions]]</f>
        <v>7591.0058903186236</v>
      </c>
      <c r="L10" t="s">
        <v>369</v>
      </c>
    </row>
    <row r="11" spans="1:12" x14ac:dyDescent="0.35">
      <c r="A11" t="s">
        <v>61</v>
      </c>
      <c r="B11" t="s">
        <v>62</v>
      </c>
      <c r="C11" s="3">
        <v>45727</v>
      </c>
      <c r="D11" s="4">
        <v>20222</v>
      </c>
      <c r="E11" s="4">
        <v>712</v>
      </c>
      <c r="F11" s="4">
        <v>604</v>
      </c>
      <c r="G11" s="4">
        <v>216422</v>
      </c>
      <c r="H11" s="4">
        <f>Table2[[#This Row],[Likes]]+Table2[[#This Row],[Shares]]+Table2[[#This Row],[Comments]]/Table2[[#This Row],[Impressions]]</f>
        <v>20934.002790843813</v>
      </c>
    </row>
    <row r="12" spans="1:12" x14ac:dyDescent="0.35">
      <c r="A12" t="s">
        <v>64</v>
      </c>
      <c r="B12" t="s">
        <v>36</v>
      </c>
      <c r="C12" s="3">
        <v>45690</v>
      </c>
      <c r="D12" s="4">
        <v>12136</v>
      </c>
      <c r="E12" s="4">
        <v>1117</v>
      </c>
      <c r="F12" s="4">
        <v>834</v>
      </c>
      <c r="G12" s="4">
        <v>183273</v>
      </c>
      <c r="H12" s="4">
        <f>Table2[[#This Row],[Likes]]+Table2[[#This Row],[Shares]]+Table2[[#This Row],[Comments]]/Table2[[#This Row],[Impressions]]</f>
        <v>13253.004550588466</v>
      </c>
      <c r="J12" s="5"/>
    </row>
    <row r="13" spans="1:12" x14ac:dyDescent="0.35">
      <c r="A13" t="s">
        <v>65</v>
      </c>
      <c r="B13" t="s">
        <v>36</v>
      </c>
      <c r="C13" s="3">
        <v>45494</v>
      </c>
      <c r="D13" s="4">
        <v>2009</v>
      </c>
      <c r="E13" s="4">
        <v>1072</v>
      </c>
      <c r="F13" s="4">
        <v>550</v>
      </c>
      <c r="G13" s="4">
        <v>69426</v>
      </c>
      <c r="H13" s="4">
        <f>Table2[[#This Row],[Likes]]+Table2[[#This Row],[Shares]]+Table2[[#This Row],[Comments]]/Table2[[#This Row],[Impressions]]</f>
        <v>3081.007922104111</v>
      </c>
    </row>
    <row r="14" spans="1:12" x14ac:dyDescent="0.35">
      <c r="A14" t="s">
        <v>66</v>
      </c>
      <c r="B14" t="s">
        <v>36</v>
      </c>
      <c r="C14" s="3">
        <v>45614</v>
      </c>
      <c r="D14" s="4">
        <v>21255</v>
      </c>
      <c r="E14" s="4">
        <v>1452</v>
      </c>
      <c r="F14" s="4">
        <v>625</v>
      </c>
      <c r="G14" s="4">
        <v>57778</v>
      </c>
      <c r="H14" s="4">
        <f>Table2[[#This Row],[Likes]]+Table2[[#This Row],[Shares]]+Table2[[#This Row],[Comments]]/Table2[[#This Row],[Impressions]]</f>
        <v>22707.010817266088</v>
      </c>
    </row>
    <row r="15" spans="1:12" x14ac:dyDescent="0.35">
      <c r="A15" t="s">
        <v>68</v>
      </c>
      <c r="B15" t="s">
        <v>36</v>
      </c>
      <c r="C15" s="3">
        <v>45906</v>
      </c>
      <c r="D15" s="4">
        <v>7124</v>
      </c>
      <c r="E15" s="4">
        <v>469</v>
      </c>
      <c r="F15" s="4">
        <v>851</v>
      </c>
      <c r="G15" s="4">
        <v>216313</v>
      </c>
      <c r="H15" s="4">
        <f>Table2[[#This Row],[Likes]]+Table2[[#This Row],[Shares]]+Table2[[#This Row],[Comments]]/Table2[[#This Row],[Impressions]]</f>
        <v>7593.0039341139918</v>
      </c>
    </row>
    <row r="16" spans="1:12" x14ac:dyDescent="0.35">
      <c r="A16" t="s">
        <v>69</v>
      </c>
      <c r="B16" t="s">
        <v>41</v>
      </c>
      <c r="C16" s="3">
        <v>45907</v>
      </c>
      <c r="D16" s="4">
        <v>3015</v>
      </c>
      <c r="E16" s="4">
        <v>997</v>
      </c>
      <c r="F16" s="4">
        <v>783</v>
      </c>
      <c r="G16" s="4">
        <v>82229</v>
      </c>
      <c r="H16" s="4">
        <f>Table2[[#This Row],[Likes]]+Table2[[#This Row],[Shares]]+Table2[[#This Row],[Comments]]/Table2[[#This Row],[Impressions]]</f>
        <v>4012.009522188036</v>
      </c>
    </row>
    <row r="17" spans="1:8" x14ac:dyDescent="0.35">
      <c r="A17" t="s">
        <v>70</v>
      </c>
      <c r="B17" t="s">
        <v>45</v>
      </c>
      <c r="C17" s="3">
        <v>45530</v>
      </c>
      <c r="D17" s="4">
        <v>4193</v>
      </c>
      <c r="E17" s="4">
        <v>924</v>
      </c>
      <c r="F17" s="4">
        <v>707</v>
      </c>
      <c r="G17" s="4">
        <v>126652</v>
      </c>
      <c r="H17" s="4">
        <f>Table2[[#This Row],[Likes]]+Table2[[#This Row],[Shares]]+Table2[[#This Row],[Comments]]/Table2[[#This Row],[Impressions]]</f>
        <v>5117.0055822253107</v>
      </c>
    </row>
    <row r="18" spans="1:8" x14ac:dyDescent="0.35">
      <c r="A18" t="s">
        <v>71</v>
      </c>
      <c r="B18" t="s">
        <v>41</v>
      </c>
      <c r="C18" s="3">
        <v>45782</v>
      </c>
      <c r="D18" s="4">
        <v>10415</v>
      </c>
      <c r="E18" s="4">
        <v>1388</v>
      </c>
      <c r="F18" s="4">
        <v>725</v>
      </c>
      <c r="G18" s="4">
        <v>168267</v>
      </c>
      <c r="H18" s="4">
        <f>Table2[[#This Row],[Likes]]+Table2[[#This Row],[Shares]]+Table2[[#This Row],[Comments]]/Table2[[#This Row],[Impressions]]</f>
        <v>11803.00430862855</v>
      </c>
    </row>
    <row r="19" spans="1:8" x14ac:dyDescent="0.35">
      <c r="A19" t="s">
        <v>73</v>
      </c>
      <c r="B19" t="s">
        <v>41</v>
      </c>
      <c r="C19" s="3">
        <v>45523</v>
      </c>
      <c r="D19" s="4">
        <v>15550</v>
      </c>
      <c r="E19" s="4">
        <v>204</v>
      </c>
      <c r="F19" s="4">
        <v>279</v>
      </c>
      <c r="G19" s="4">
        <v>219436</v>
      </c>
      <c r="H19" s="4">
        <f>Table2[[#This Row],[Likes]]+Table2[[#This Row],[Shares]]+Table2[[#This Row],[Comments]]/Table2[[#This Row],[Impressions]]</f>
        <v>15754.001271441331</v>
      </c>
    </row>
    <row r="20" spans="1:8" x14ac:dyDescent="0.35">
      <c r="A20" t="s">
        <v>74</v>
      </c>
      <c r="B20" t="s">
        <v>41</v>
      </c>
      <c r="C20" s="3">
        <v>45466</v>
      </c>
      <c r="D20" s="4">
        <v>16512</v>
      </c>
      <c r="E20" s="4">
        <v>1050</v>
      </c>
      <c r="F20" s="4">
        <v>971</v>
      </c>
      <c r="G20" s="4">
        <v>166503</v>
      </c>
      <c r="H20" s="4">
        <f>Table2[[#This Row],[Likes]]+Table2[[#This Row],[Shares]]+Table2[[#This Row],[Comments]]/Table2[[#This Row],[Impressions]]</f>
        <v>17562.005831726754</v>
      </c>
    </row>
    <row r="21" spans="1:8" x14ac:dyDescent="0.35">
      <c r="A21" t="s">
        <v>75</v>
      </c>
      <c r="B21" t="s">
        <v>36</v>
      </c>
      <c r="C21" s="3">
        <v>45544</v>
      </c>
      <c r="D21" s="4">
        <v>6158</v>
      </c>
      <c r="E21" s="4">
        <v>277</v>
      </c>
      <c r="F21" s="4">
        <v>512</v>
      </c>
      <c r="G21" s="4">
        <v>124878</v>
      </c>
      <c r="H21" s="4">
        <f>Table2[[#This Row],[Likes]]+Table2[[#This Row],[Shares]]+Table2[[#This Row],[Comments]]/Table2[[#This Row],[Impressions]]</f>
        <v>6435.0041000016017</v>
      </c>
    </row>
    <row r="22" spans="1:8" x14ac:dyDescent="0.35">
      <c r="A22" t="s">
        <v>76</v>
      </c>
      <c r="B22" t="s">
        <v>62</v>
      </c>
      <c r="C22" s="3">
        <v>45908</v>
      </c>
      <c r="D22" s="4">
        <v>22309</v>
      </c>
      <c r="E22" s="4">
        <v>773</v>
      </c>
      <c r="F22" s="4">
        <v>854</v>
      </c>
      <c r="G22" s="4">
        <v>97056</v>
      </c>
      <c r="H22" s="4">
        <f>Table2[[#This Row],[Likes]]+Table2[[#This Row],[Shares]]+Table2[[#This Row],[Comments]]/Table2[[#This Row],[Impressions]]</f>
        <v>23082.008799043851</v>
      </c>
    </row>
    <row r="23" spans="1:8" x14ac:dyDescent="0.35">
      <c r="A23" t="s">
        <v>78</v>
      </c>
      <c r="B23" t="s">
        <v>45</v>
      </c>
      <c r="C23" s="3">
        <v>45715</v>
      </c>
      <c r="D23" s="4">
        <v>8970</v>
      </c>
      <c r="E23" s="4">
        <v>331</v>
      </c>
      <c r="F23" s="4">
        <v>968</v>
      </c>
      <c r="G23" s="4">
        <v>198562</v>
      </c>
      <c r="H23" s="4">
        <f>Table2[[#This Row],[Likes]]+Table2[[#This Row],[Shares]]+Table2[[#This Row],[Comments]]/Table2[[#This Row],[Impressions]]</f>
        <v>9301.0048750516216</v>
      </c>
    </row>
    <row r="24" spans="1:8" x14ac:dyDescent="0.35">
      <c r="A24" t="s">
        <v>79</v>
      </c>
      <c r="B24" t="s">
        <v>62</v>
      </c>
      <c r="C24" s="3">
        <v>45602</v>
      </c>
      <c r="D24" s="4">
        <v>8938</v>
      </c>
      <c r="E24" s="4">
        <v>800</v>
      </c>
      <c r="F24" s="4">
        <v>842</v>
      </c>
      <c r="G24" s="4">
        <v>59975</v>
      </c>
      <c r="H24" s="4">
        <f>Table2[[#This Row],[Likes]]+Table2[[#This Row],[Shares]]+Table2[[#This Row],[Comments]]/Table2[[#This Row],[Impressions]]</f>
        <v>9738.0140391829937</v>
      </c>
    </row>
    <row r="25" spans="1:8" x14ac:dyDescent="0.35">
      <c r="A25" t="s">
        <v>80</v>
      </c>
      <c r="B25" t="s">
        <v>41</v>
      </c>
      <c r="C25" s="3">
        <v>45680</v>
      </c>
      <c r="D25" s="4">
        <v>23168</v>
      </c>
      <c r="E25" s="4">
        <v>1265</v>
      </c>
      <c r="F25" s="4">
        <v>441</v>
      </c>
      <c r="G25" s="4">
        <v>197795</v>
      </c>
      <c r="H25" s="4">
        <f>Table2[[#This Row],[Likes]]+Table2[[#This Row],[Shares]]+Table2[[#This Row],[Comments]]/Table2[[#This Row],[Impressions]]</f>
        <v>24433.002229581132</v>
      </c>
    </row>
    <row r="26" spans="1:8" x14ac:dyDescent="0.35">
      <c r="A26" t="s">
        <v>81</v>
      </c>
      <c r="B26" t="s">
        <v>41</v>
      </c>
      <c r="C26" s="3">
        <v>45909</v>
      </c>
      <c r="D26" s="4">
        <v>15772</v>
      </c>
      <c r="E26" s="4">
        <v>288</v>
      </c>
      <c r="F26" s="4">
        <v>520</v>
      </c>
      <c r="G26" s="4">
        <v>194351</v>
      </c>
      <c r="H26" s="4">
        <f>Table2[[#This Row],[Likes]]+Table2[[#This Row],[Shares]]+Table2[[#This Row],[Comments]]/Table2[[#This Row],[Impressions]]</f>
        <v>16060.002675571517</v>
      </c>
    </row>
    <row r="27" spans="1:8" x14ac:dyDescent="0.35">
      <c r="A27" t="s">
        <v>82</v>
      </c>
      <c r="B27" t="s">
        <v>62</v>
      </c>
      <c r="C27" s="3">
        <v>45752</v>
      </c>
      <c r="D27" s="4">
        <v>22384</v>
      </c>
      <c r="E27" s="4">
        <v>601</v>
      </c>
      <c r="F27" s="4">
        <v>943</v>
      </c>
      <c r="G27" s="4">
        <v>249373</v>
      </c>
      <c r="H27" s="4">
        <f>Table2[[#This Row],[Likes]]+Table2[[#This Row],[Shares]]+Table2[[#This Row],[Comments]]/Table2[[#This Row],[Impressions]]</f>
        <v>22985.003781483963</v>
      </c>
    </row>
    <row r="28" spans="1:8" x14ac:dyDescent="0.35">
      <c r="A28" t="s">
        <v>83</v>
      </c>
      <c r="B28" t="s">
        <v>62</v>
      </c>
      <c r="C28" s="3">
        <v>45552</v>
      </c>
      <c r="D28" s="4">
        <v>20017</v>
      </c>
      <c r="E28" s="4">
        <v>495</v>
      </c>
      <c r="F28" s="4">
        <v>178</v>
      </c>
      <c r="G28" s="4">
        <v>182633</v>
      </c>
      <c r="H28" s="4">
        <f>Table2[[#This Row],[Likes]]+Table2[[#This Row],[Shares]]+Table2[[#This Row],[Comments]]/Table2[[#This Row],[Impressions]]</f>
        <v>20512.000974632185</v>
      </c>
    </row>
    <row r="29" spans="1:8" x14ac:dyDescent="0.35">
      <c r="A29" t="s">
        <v>84</v>
      </c>
      <c r="B29" t="s">
        <v>62</v>
      </c>
      <c r="C29" s="3">
        <v>45720</v>
      </c>
      <c r="D29" s="4">
        <v>12344</v>
      </c>
      <c r="E29" s="4">
        <v>815</v>
      </c>
      <c r="F29" s="4">
        <v>298</v>
      </c>
      <c r="G29" s="4">
        <v>237133</v>
      </c>
      <c r="H29" s="4">
        <f>Table2[[#This Row],[Likes]]+Table2[[#This Row],[Shares]]+Table2[[#This Row],[Comments]]/Table2[[#This Row],[Impressions]]</f>
        <v>13159.001256678741</v>
      </c>
    </row>
    <row r="30" spans="1:8" x14ac:dyDescent="0.35">
      <c r="A30" t="s">
        <v>85</v>
      </c>
      <c r="B30" t="s">
        <v>41</v>
      </c>
      <c r="C30" s="3">
        <v>45910</v>
      </c>
      <c r="D30" s="4">
        <v>9266</v>
      </c>
      <c r="E30" s="4">
        <v>999</v>
      </c>
      <c r="F30" s="4">
        <v>928</v>
      </c>
      <c r="G30" s="4">
        <v>128397</v>
      </c>
      <c r="H30" s="4">
        <f>Table2[[#This Row],[Likes]]+Table2[[#This Row],[Shares]]+Table2[[#This Row],[Comments]]/Table2[[#This Row],[Impressions]]</f>
        <v>10265.007227583199</v>
      </c>
    </row>
    <row r="31" spans="1:8" x14ac:dyDescent="0.35">
      <c r="A31" t="s">
        <v>86</v>
      </c>
      <c r="B31" t="s">
        <v>41</v>
      </c>
      <c r="C31" s="3">
        <v>45713</v>
      </c>
      <c r="D31" s="4">
        <v>10702</v>
      </c>
      <c r="E31" s="4">
        <v>621</v>
      </c>
      <c r="F31" s="4">
        <v>445</v>
      </c>
      <c r="G31" s="4">
        <v>220225</v>
      </c>
      <c r="H31" s="4">
        <f>Table2[[#This Row],[Likes]]+Table2[[#This Row],[Shares]]+Table2[[#This Row],[Comments]]/Table2[[#This Row],[Impressions]]</f>
        <v>11323.002020660688</v>
      </c>
    </row>
    <row r="32" spans="1:8" x14ac:dyDescent="0.35">
      <c r="A32" t="s">
        <v>87</v>
      </c>
      <c r="B32" t="s">
        <v>45</v>
      </c>
      <c r="C32" s="3">
        <v>45642</v>
      </c>
      <c r="D32" s="4">
        <v>2384</v>
      </c>
      <c r="E32" s="4">
        <v>1246</v>
      </c>
      <c r="F32" s="4">
        <v>160</v>
      </c>
      <c r="G32" s="4">
        <v>73142</v>
      </c>
      <c r="H32" s="4">
        <f>Table2[[#This Row],[Likes]]+Table2[[#This Row],[Shares]]+Table2[[#This Row],[Comments]]/Table2[[#This Row],[Impressions]]</f>
        <v>3630.0021875256352</v>
      </c>
    </row>
    <row r="33" spans="1:8" x14ac:dyDescent="0.35">
      <c r="A33" t="s">
        <v>88</v>
      </c>
      <c r="B33" t="s">
        <v>45</v>
      </c>
      <c r="C33" s="3">
        <v>45504</v>
      </c>
      <c r="D33" s="4">
        <v>2404</v>
      </c>
      <c r="E33" s="4">
        <v>774</v>
      </c>
      <c r="F33" s="4">
        <v>661</v>
      </c>
      <c r="G33" s="4">
        <v>66916</v>
      </c>
      <c r="H33" s="4">
        <f>Table2[[#This Row],[Likes]]+Table2[[#This Row],[Shares]]+Table2[[#This Row],[Comments]]/Table2[[#This Row],[Impressions]]</f>
        <v>3178.0098780560702</v>
      </c>
    </row>
    <row r="34" spans="1:8" x14ac:dyDescent="0.35">
      <c r="A34" t="s">
        <v>89</v>
      </c>
      <c r="B34" t="s">
        <v>41</v>
      </c>
      <c r="C34" s="3">
        <v>45911</v>
      </c>
      <c r="D34" s="4">
        <v>10175</v>
      </c>
      <c r="E34" s="4">
        <v>342</v>
      </c>
      <c r="F34" s="4">
        <v>825</v>
      </c>
      <c r="G34" s="4">
        <v>104324</v>
      </c>
      <c r="H34" s="4">
        <f>Table2[[#This Row],[Likes]]+Table2[[#This Row],[Shares]]+Table2[[#This Row],[Comments]]/Table2[[#This Row],[Impressions]]</f>
        <v>10517.007908055673</v>
      </c>
    </row>
    <row r="35" spans="1:8" x14ac:dyDescent="0.35">
      <c r="A35" t="s">
        <v>90</v>
      </c>
      <c r="B35" t="s">
        <v>62</v>
      </c>
      <c r="C35" s="3">
        <v>45912</v>
      </c>
      <c r="D35" s="4">
        <v>17158</v>
      </c>
      <c r="E35" s="4">
        <v>1192</v>
      </c>
      <c r="F35" s="4">
        <v>262</v>
      </c>
      <c r="G35" s="4">
        <v>216037</v>
      </c>
      <c r="H35" s="4">
        <f>Table2[[#This Row],[Likes]]+Table2[[#This Row],[Shares]]+Table2[[#This Row],[Comments]]/Table2[[#This Row],[Impressions]]</f>
        <v>18350.001212755222</v>
      </c>
    </row>
    <row r="36" spans="1:8" x14ac:dyDescent="0.35">
      <c r="A36" t="s">
        <v>91</v>
      </c>
      <c r="B36" t="s">
        <v>62</v>
      </c>
      <c r="C36" s="3">
        <v>45626</v>
      </c>
      <c r="D36" s="4">
        <v>14763</v>
      </c>
      <c r="E36" s="4">
        <v>864</v>
      </c>
      <c r="F36" s="4">
        <v>336</v>
      </c>
      <c r="G36" s="4">
        <v>165932</v>
      </c>
      <c r="H36" s="4">
        <f>Table2[[#This Row],[Likes]]+Table2[[#This Row],[Shares]]+Table2[[#This Row],[Comments]]/Table2[[#This Row],[Impressions]]</f>
        <v>15627.002024925874</v>
      </c>
    </row>
    <row r="37" spans="1:8" x14ac:dyDescent="0.35">
      <c r="A37" t="s">
        <v>92</v>
      </c>
      <c r="B37" t="s">
        <v>45</v>
      </c>
      <c r="C37" s="3">
        <v>45766</v>
      </c>
      <c r="D37" s="4">
        <v>20384</v>
      </c>
      <c r="E37" s="4">
        <v>344</v>
      </c>
      <c r="F37" s="4">
        <v>956</v>
      </c>
      <c r="G37" s="4">
        <v>175720</v>
      </c>
      <c r="H37" s="4">
        <f>Table2[[#This Row],[Likes]]+Table2[[#This Row],[Shares]]+Table2[[#This Row],[Comments]]/Table2[[#This Row],[Impressions]]</f>
        <v>20728.00544047348</v>
      </c>
    </row>
    <row r="38" spans="1:8" x14ac:dyDescent="0.35">
      <c r="A38" t="s">
        <v>93</v>
      </c>
      <c r="B38" t="s">
        <v>41</v>
      </c>
      <c r="C38" s="3">
        <v>45663</v>
      </c>
      <c r="D38" s="4">
        <v>11860</v>
      </c>
      <c r="E38" s="4">
        <v>1448</v>
      </c>
      <c r="F38" s="4">
        <v>893</v>
      </c>
      <c r="G38" s="4">
        <v>206205</v>
      </c>
      <c r="H38" s="4">
        <f>Table2[[#This Row],[Likes]]+Table2[[#This Row],[Shares]]+Table2[[#This Row],[Comments]]/Table2[[#This Row],[Impressions]]</f>
        <v>13308.004330641837</v>
      </c>
    </row>
    <row r="39" spans="1:8" x14ac:dyDescent="0.35">
      <c r="A39" t="s">
        <v>94</v>
      </c>
      <c r="B39" t="s">
        <v>45</v>
      </c>
      <c r="C39" s="3">
        <v>45705</v>
      </c>
      <c r="D39" s="4">
        <v>7989</v>
      </c>
      <c r="E39" s="4">
        <v>1206</v>
      </c>
      <c r="F39" s="4">
        <v>376</v>
      </c>
      <c r="G39" s="4">
        <v>221749</v>
      </c>
      <c r="H39" s="4">
        <f>Table2[[#This Row],[Likes]]+Table2[[#This Row],[Shares]]+Table2[[#This Row],[Comments]]/Table2[[#This Row],[Impressions]]</f>
        <v>9195.0016956108029</v>
      </c>
    </row>
    <row r="40" spans="1:8" x14ac:dyDescent="0.35">
      <c r="A40" t="s">
        <v>95</v>
      </c>
      <c r="B40" t="s">
        <v>45</v>
      </c>
      <c r="C40" s="3">
        <v>45913</v>
      </c>
      <c r="D40" s="4">
        <v>17106</v>
      </c>
      <c r="E40" s="4">
        <v>702</v>
      </c>
      <c r="F40" s="4">
        <v>459</v>
      </c>
      <c r="G40" s="4">
        <v>136059</v>
      </c>
      <c r="H40" s="4">
        <f>Table2[[#This Row],[Likes]]+Table2[[#This Row],[Shares]]+Table2[[#This Row],[Comments]]/Table2[[#This Row],[Impressions]]</f>
        <v>17808.003373536481</v>
      </c>
    </row>
    <row r="41" spans="1:8" x14ac:dyDescent="0.35">
      <c r="A41" t="s">
        <v>96</v>
      </c>
      <c r="B41" t="s">
        <v>36</v>
      </c>
      <c r="C41" s="3">
        <v>45914</v>
      </c>
      <c r="D41" s="4">
        <v>19844</v>
      </c>
      <c r="E41" s="4">
        <v>1020</v>
      </c>
      <c r="F41" s="4">
        <v>247</v>
      </c>
      <c r="G41" s="4">
        <v>138317</v>
      </c>
      <c r="H41" s="4">
        <f>Table2[[#This Row],[Likes]]+Table2[[#This Row],[Shares]]+Table2[[#This Row],[Comments]]/Table2[[#This Row],[Impressions]]</f>
        <v>20864.001785753018</v>
      </c>
    </row>
    <row r="42" spans="1:8" x14ac:dyDescent="0.35">
      <c r="A42" t="s">
        <v>97</v>
      </c>
      <c r="B42" t="s">
        <v>36</v>
      </c>
      <c r="C42" s="3">
        <v>45915</v>
      </c>
      <c r="D42" s="4">
        <v>5636</v>
      </c>
      <c r="E42" s="4">
        <v>303</v>
      </c>
      <c r="F42" s="4">
        <v>204</v>
      </c>
      <c r="G42" s="4">
        <v>241207</v>
      </c>
      <c r="H42" s="4">
        <f>Table2[[#This Row],[Likes]]+Table2[[#This Row],[Shares]]+Table2[[#This Row],[Comments]]/Table2[[#This Row],[Impressions]]</f>
        <v>5939.0008457465992</v>
      </c>
    </row>
    <row r="43" spans="1:8" x14ac:dyDescent="0.35">
      <c r="A43" t="s">
        <v>98</v>
      </c>
      <c r="B43" t="s">
        <v>36</v>
      </c>
      <c r="C43" s="3">
        <v>45721</v>
      </c>
      <c r="D43" s="4">
        <v>12916</v>
      </c>
      <c r="E43" s="4">
        <v>1262</v>
      </c>
      <c r="F43" s="4">
        <v>772</v>
      </c>
      <c r="G43" s="4">
        <v>75046</v>
      </c>
      <c r="H43" s="4">
        <f>Table2[[#This Row],[Likes]]+Table2[[#This Row],[Shares]]+Table2[[#This Row],[Comments]]/Table2[[#This Row],[Impressions]]</f>
        <v>14178.010287023959</v>
      </c>
    </row>
    <row r="44" spans="1:8" x14ac:dyDescent="0.35">
      <c r="A44" t="s">
        <v>99</v>
      </c>
      <c r="B44" t="s">
        <v>62</v>
      </c>
      <c r="C44" s="3">
        <v>45916</v>
      </c>
      <c r="D44" s="4">
        <v>6809</v>
      </c>
      <c r="E44" s="4">
        <v>397</v>
      </c>
      <c r="F44" s="4">
        <v>813</v>
      </c>
      <c r="G44" s="4">
        <v>218136</v>
      </c>
      <c r="H44" s="4">
        <f>Table2[[#This Row],[Likes]]+Table2[[#This Row],[Shares]]+Table2[[#This Row],[Comments]]/Table2[[#This Row],[Impressions]]</f>
        <v>7206.0037270326766</v>
      </c>
    </row>
    <row r="45" spans="1:8" x14ac:dyDescent="0.35">
      <c r="A45" t="s">
        <v>100</v>
      </c>
      <c r="B45" t="s">
        <v>41</v>
      </c>
      <c r="C45" s="3">
        <v>45718</v>
      </c>
      <c r="D45" s="4">
        <v>22562</v>
      </c>
      <c r="E45" s="4">
        <v>778</v>
      </c>
      <c r="F45" s="4">
        <v>907</v>
      </c>
      <c r="G45" s="4">
        <v>141459</v>
      </c>
      <c r="H45" s="4">
        <f>Table2[[#This Row],[Likes]]+Table2[[#This Row],[Shares]]+Table2[[#This Row],[Comments]]/Table2[[#This Row],[Impressions]]</f>
        <v>23340.006411751816</v>
      </c>
    </row>
    <row r="46" spans="1:8" x14ac:dyDescent="0.35">
      <c r="A46" t="s">
        <v>101</v>
      </c>
      <c r="B46" t="s">
        <v>41</v>
      </c>
      <c r="C46" s="3">
        <v>45917</v>
      </c>
      <c r="D46" s="4">
        <v>15456</v>
      </c>
      <c r="E46" s="4">
        <v>590</v>
      </c>
      <c r="F46" s="4">
        <v>555</v>
      </c>
      <c r="G46" s="4">
        <v>240422</v>
      </c>
      <c r="H46" s="4">
        <f>Table2[[#This Row],[Likes]]+Table2[[#This Row],[Shares]]+Table2[[#This Row],[Comments]]/Table2[[#This Row],[Impressions]]</f>
        <v>16046.002308440991</v>
      </c>
    </row>
    <row r="47" spans="1:8" x14ac:dyDescent="0.35">
      <c r="A47" t="s">
        <v>102</v>
      </c>
      <c r="B47" t="s">
        <v>41</v>
      </c>
      <c r="C47" s="3">
        <v>45779</v>
      </c>
      <c r="D47" s="4">
        <v>17444</v>
      </c>
      <c r="E47" s="4">
        <v>1402</v>
      </c>
      <c r="F47" s="4">
        <v>218</v>
      </c>
      <c r="G47" s="4">
        <v>85893</v>
      </c>
      <c r="H47" s="4">
        <f>Table2[[#This Row],[Likes]]+Table2[[#This Row],[Shares]]+Table2[[#This Row],[Comments]]/Table2[[#This Row],[Impressions]]</f>
        <v>18846.002538041517</v>
      </c>
    </row>
    <row r="48" spans="1:8" x14ac:dyDescent="0.35">
      <c r="A48" t="s">
        <v>103</v>
      </c>
      <c r="B48" t="s">
        <v>41</v>
      </c>
      <c r="C48" s="3">
        <v>45712</v>
      </c>
      <c r="D48" s="4">
        <v>24984</v>
      </c>
      <c r="E48" s="4">
        <v>753</v>
      </c>
      <c r="F48" s="4">
        <v>461</v>
      </c>
      <c r="G48" s="4">
        <v>141520</v>
      </c>
      <c r="H48" s="4">
        <f>Table2[[#This Row],[Likes]]+Table2[[#This Row],[Shares]]+Table2[[#This Row],[Comments]]/Table2[[#This Row],[Impressions]]</f>
        <v>25737.003257490109</v>
      </c>
    </row>
    <row r="49" spans="1:8" x14ac:dyDescent="0.35">
      <c r="A49" t="s">
        <v>104</v>
      </c>
      <c r="B49" t="s">
        <v>36</v>
      </c>
      <c r="C49" s="3">
        <v>45727</v>
      </c>
      <c r="D49" s="4">
        <v>7997</v>
      </c>
      <c r="E49" s="4">
        <v>1238</v>
      </c>
      <c r="F49" s="4">
        <v>438</v>
      </c>
      <c r="G49" s="4">
        <v>165818</v>
      </c>
      <c r="H49" s="4">
        <f>Table2[[#This Row],[Likes]]+Table2[[#This Row],[Shares]]+Table2[[#This Row],[Comments]]/Table2[[#This Row],[Impressions]]</f>
        <v>9235.0026414502645</v>
      </c>
    </row>
    <row r="50" spans="1:8" x14ac:dyDescent="0.35">
      <c r="A50" t="s">
        <v>105</v>
      </c>
      <c r="B50" t="s">
        <v>62</v>
      </c>
      <c r="C50" s="3">
        <v>45918</v>
      </c>
      <c r="D50" s="4">
        <v>4048</v>
      </c>
      <c r="E50" s="4">
        <v>677</v>
      </c>
      <c r="F50" s="4">
        <v>911</v>
      </c>
      <c r="G50" s="4">
        <v>101272</v>
      </c>
      <c r="H50" s="4">
        <f>Table2[[#This Row],[Likes]]+Table2[[#This Row],[Shares]]+Table2[[#This Row],[Comments]]/Table2[[#This Row],[Impressions]]</f>
        <v>4725.0089955762696</v>
      </c>
    </row>
    <row r="51" spans="1:8" x14ac:dyDescent="0.35">
      <c r="A51" t="s">
        <v>106</v>
      </c>
      <c r="B51" t="s">
        <v>62</v>
      </c>
      <c r="C51" s="3">
        <v>45476</v>
      </c>
      <c r="D51" s="4">
        <v>14338</v>
      </c>
      <c r="E51" s="4">
        <v>1454</v>
      </c>
      <c r="F51" s="4">
        <v>697</v>
      </c>
      <c r="G51" s="4">
        <v>107649</v>
      </c>
      <c r="H51" s="4">
        <f>Table2[[#This Row],[Likes]]+Table2[[#This Row],[Shares]]+Table2[[#This Row],[Comments]]/Table2[[#This Row],[Impressions]]</f>
        <v>15792.006474746629</v>
      </c>
    </row>
    <row r="52" spans="1:8" x14ac:dyDescent="0.35">
      <c r="A52" t="s">
        <v>107</v>
      </c>
      <c r="B52" t="s">
        <v>36</v>
      </c>
      <c r="C52" s="3">
        <v>45456</v>
      </c>
      <c r="D52" s="4">
        <v>23164</v>
      </c>
      <c r="E52" s="4">
        <v>1122</v>
      </c>
      <c r="F52" s="4">
        <v>900</v>
      </c>
      <c r="G52" s="4">
        <v>104674</v>
      </c>
      <c r="H52" s="4">
        <f>Table2[[#This Row],[Likes]]+Table2[[#This Row],[Shares]]+Table2[[#This Row],[Comments]]/Table2[[#This Row],[Impressions]]</f>
        <v>24286.008598123699</v>
      </c>
    </row>
    <row r="53" spans="1:8" x14ac:dyDescent="0.35">
      <c r="A53" t="s">
        <v>108</v>
      </c>
      <c r="B53" t="s">
        <v>62</v>
      </c>
      <c r="C53" s="3">
        <v>45919</v>
      </c>
      <c r="D53" s="4">
        <v>19100</v>
      </c>
      <c r="E53" s="4">
        <v>619</v>
      </c>
      <c r="F53" s="4">
        <v>297</v>
      </c>
      <c r="G53" s="4">
        <v>184832</v>
      </c>
      <c r="H53" s="4">
        <f>Table2[[#This Row],[Likes]]+Table2[[#This Row],[Shares]]+Table2[[#This Row],[Comments]]/Table2[[#This Row],[Impressions]]</f>
        <v>19719.001606864611</v>
      </c>
    </row>
    <row r="54" spans="1:8" x14ac:dyDescent="0.35">
      <c r="A54" t="s">
        <v>109</v>
      </c>
      <c r="B54" t="s">
        <v>36</v>
      </c>
      <c r="C54" s="3">
        <v>45712</v>
      </c>
      <c r="D54" s="4">
        <v>23949</v>
      </c>
      <c r="E54" s="4">
        <v>356</v>
      </c>
      <c r="F54" s="4">
        <v>616</v>
      </c>
      <c r="G54" s="4">
        <v>192999</v>
      </c>
      <c r="H54" s="4">
        <f>Table2[[#This Row],[Likes]]+Table2[[#This Row],[Shares]]+Table2[[#This Row],[Comments]]/Table2[[#This Row],[Impressions]]</f>
        <v>24305.00319172638</v>
      </c>
    </row>
    <row r="55" spans="1:8" x14ac:dyDescent="0.35">
      <c r="A55" t="s">
        <v>110</v>
      </c>
      <c r="B55" t="s">
        <v>41</v>
      </c>
      <c r="C55" s="3">
        <v>45729</v>
      </c>
      <c r="D55" s="4">
        <v>6544</v>
      </c>
      <c r="E55" s="4">
        <v>749</v>
      </c>
      <c r="F55" s="4">
        <v>888</v>
      </c>
      <c r="G55" s="4">
        <v>126475</v>
      </c>
      <c r="H55" s="4">
        <f>Table2[[#This Row],[Likes]]+Table2[[#This Row],[Shares]]+Table2[[#This Row],[Comments]]/Table2[[#This Row],[Impressions]]</f>
        <v>7293.0070211504253</v>
      </c>
    </row>
    <row r="56" spans="1:8" x14ac:dyDescent="0.35">
      <c r="A56" t="s">
        <v>111</v>
      </c>
      <c r="B56" t="s">
        <v>36</v>
      </c>
      <c r="C56" s="3">
        <v>45460</v>
      </c>
      <c r="D56" s="4">
        <v>6976</v>
      </c>
      <c r="E56" s="4">
        <v>1320</v>
      </c>
      <c r="F56" s="4">
        <v>393</v>
      </c>
      <c r="G56" s="4">
        <v>101367</v>
      </c>
      <c r="H56" s="4">
        <f>Table2[[#This Row],[Likes]]+Table2[[#This Row],[Shares]]+Table2[[#This Row],[Comments]]/Table2[[#This Row],[Impressions]]</f>
        <v>8296.0038770013907</v>
      </c>
    </row>
    <row r="57" spans="1:8" x14ac:dyDescent="0.35">
      <c r="A57" t="s">
        <v>112</v>
      </c>
      <c r="B57" t="s">
        <v>41</v>
      </c>
      <c r="C57" s="3">
        <v>45644</v>
      </c>
      <c r="D57" s="4">
        <v>14775</v>
      </c>
      <c r="E57" s="4">
        <v>1220</v>
      </c>
      <c r="F57" s="4">
        <v>640</v>
      </c>
      <c r="G57" s="4">
        <v>183660</v>
      </c>
      <c r="H57" s="4">
        <f>Table2[[#This Row],[Likes]]+Table2[[#This Row],[Shares]]+Table2[[#This Row],[Comments]]/Table2[[#This Row],[Impressions]]</f>
        <v>15995.00348469999</v>
      </c>
    </row>
    <row r="58" spans="1:8" x14ac:dyDescent="0.35">
      <c r="A58" t="s">
        <v>113</v>
      </c>
      <c r="B58" t="s">
        <v>41</v>
      </c>
      <c r="C58" s="3">
        <v>45586</v>
      </c>
      <c r="D58" s="4">
        <v>12015</v>
      </c>
      <c r="E58" s="4">
        <v>1196</v>
      </c>
      <c r="F58" s="4">
        <v>998</v>
      </c>
      <c r="G58" s="4">
        <v>161750</v>
      </c>
      <c r="H58" s="4">
        <f>Table2[[#This Row],[Likes]]+Table2[[#This Row],[Shares]]+Table2[[#This Row],[Comments]]/Table2[[#This Row],[Impressions]]</f>
        <v>13211.006170015457</v>
      </c>
    </row>
    <row r="59" spans="1:8" x14ac:dyDescent="0.35">
      <c r="A59" t="s">
        <v>114</v>
      </c>
      <c r="B59" t="s">
        <v>45</v>
      </c>
      <c r="C59" s="3">
        <v>45762</v>
      </c>
      <c r="D59" s="4">
        <v>5419</v>
      </c>
      <c r="E59" s="4">
        <v>1150</v>
      </c>
      <c r="F59" s="4">
        <v>656</v>
      </c>
      <c r="G59" s="4">
        <v>158154</v>
      </c>
      <c r="H59" s="4">
        <f>Table2[[#This Row],[Likes]]+Table2[[#This Row],[Shares]]+Table2[[#This Row],[Comments]]/Table2[[#This Row],[Impressions]]</f>
        <v>6569.0041478558869</v>
      </c>
    </row>
    <row r="60" spans="1:8" x14ac:dyDescent="0.35">
      <c r="A60" t="s">
        <v>115</v>
      </c>
      <c r="B60" t="s">
        <v>36</v>
      </c>
      <c r="C60" s="3">
        <v>45465</v>
      </c>
      <c r="D60" s="4">
        <v>16430</v>
      </c>
      <c r="E60" s="4">
        <v>488</v>
      </c>
      <c r="F60" s="4">
        <v>514</v>
      </c>
      <c r="G60" s="4">
        <v>223305</v>
      </c>
      <c r="H60" s="4">
        <f>Table2[[#This Row],[Likes]]+Table2[[#This Row],[Shares]]+Table2[[#This Row],[Comments]]/Table2[[#This Row],[Impressions]]</f>
        <v>16918.002301784556</v>
      </c>
    </row>
    <row r="61" spans="1:8" x14ac:dyDescent="0.35">
      <c r="A61" t="s">
        <v>116</v>
      </c>
      <c r="B61" t="s">
        <v>45</v>
      </c>
      <c r="C61" s="3">
        <v>45685</v>
      </c>
      <c r="D61" s="4">
        <v>9239</v>
      </c>
      <c r="E61" s="4">
        <v>1477</v>
      </c>
      <c r="F61" s="4">
        <v>631</v>
      </c>
      <c r="G61" s="4">
        <v>84738</v>
      </c>
      <c r="H61" s="4">
        <f>Table2[[#This Row],[Likes]]+Table2[[#This Row],[Shares]]+Table2[[#This Row],[Comments]]/Table2[[#This Row],[Impressions]]</f>
        <v>10716.007446482097</v>
      </c>
    </row>
    <row r="62" spans="1:8" x14ac:dyDescent="0.35">
      <c r="A62" t="s">
        <v>117</v>
      </c>
      <c r="B62" t="s">
        <v>36</v>
      </c>
      <c r="C62" s="3">
        <v>45540</v>
      </c>
      <c r="D62" s="4">
        <v>16489</v>
      </c>
      <c r="E62" s="4">
        <v>395</v>
      </c>
      <c r="F62" s="4">
        <v>350</v>
      </c>
      <c r="G62" s="4">
        <v>73397</v>
      </c>
      <c r="H62" s="4">
        <f>Table2[[#This Row],[Likes]]+Table2[[#This Row],[Shares]]+Table2[[#This Row],[Comments]]/Table2[[#This Row],[Impressions]]</f>
        <v>16884.004768587271</v>
      </c>
    </row>
    <row r="63" spans="1:8" x14ac:dyDescent="0.35">
      <c r="A63" t="s">
        <v>118</v>
      </c>
      <c r="B63" t="s">
        <v>36</v>
      </c>
      <c r="C63" s="3">
        <v>45920</v>
      </c>
      <c r="D63" s="4">
        <v>18633</v>
      </c>
      <c r="E63" s="4">
        <v>797</v>
      </c>
      <c r="F63" s="4">
        <v>303</v>
      </c>
      <c r="G63" s="4">
        <v>122189</v>
      </c>
      <c r="H63" s="4">
        <f>Table2[[#This Row],[Likes]]+Table2[[#This Row],[Shares]]+Table2[[#This Row],[Comments]]/Table2[[#This Row],[Impressions]]</f>
        <v>19430.002479764953</v>
      </c>
    </row>
    <row r="64" spans="1:8" x14ac:dyDescent="0.35">
      <c r="A64" t="s">
        <v>119</v>
      </c>
      <c r="B64" t="s">
        <v>45</v>
      </c>
      <c r="C64" s="3">
        <v>45504</v>
      </c>
      <c r="D64" s="4">
        <v>12357</v>
      </c>
      <c r="E64" s="4">
        <v>716</v>
      </c>
      <c r="F64" s="4">
        <v>599</v>
      </c>
      <c r="G64" s="4">
        <v>116367</v>
      </c>
      <c r="H64" s="4">
        <f>Table2[[#This Row],[Likes]]+Table2[[#This Row],[Shares]]+Table2[[#This Row],[Comments]]/Table2[[#This Row],[Impressions]]</f>
        <v>13073.005147507454</v>
      </c>
    </row>
    <row r="65" spans="1:8" x14ac:dyDescent="0.35">
      <c r="A65" t="s">
        <v>120</v>
      </c>
      <c r="B65" t="s">
        <v>45</v>
      </c>
      <c r="C65" s="3">
        <v>45521</v>
      </c>
      <c r="D65" s="4">
        <v>19154</v>
      </c>
      <c r="E65" s="4">
        <v>1064</v>
      </c>
      <c r="F65" s="4">
        <v>650</v>
      </c>
      <c r="G65" s="4">
        <v>242332</v>
      </c>
      <c r="H65" s="4">
        <f>Table2[[#This Row],[Likes]]+Table2[[#This Row],[Shares]]+Table2[[#This Row],[Comments]]/Table2[[#This Row],[Impressions]]</f>
        <v>20218.002682270602</v>
      </c>
    </row>
    <row r="66" spans="1:8" x14ac:dyDescent="0.35">
      <c r="A66" t="s">
        <v>121</v>
      </c>
      <c r="B66" t="s">
        <v>36</v>
      </c>
      <c r="C66" s="3">
        <v>45744</v>
      </c>
      <c r="D66" s="4">
        <v>6363</v>
      </c>
      <c r="E66" s="4">
        <v>1341</v>
      </c>
      <c r="F66" s="4">
        <v>222</v>
      </c>
      <c r="G66" s="4">
        <v>160585</v>
      </c>
      <c r="H66" s="4">
        <f>Table2[[#This Row],[Likes]]+Table2[[#This Row],[Shares]]+Table2[[#This Row],[Comments]]/Table2[[#This Row],[Impressions]]</f>
        <v>7704.0013824454336</v>
      </c>
    </row>
    <row r="67" spans="1:8" x14ac:dyDescent="0.35">
      <c r="A67" t="s">
        <v>122</v>
      </c>
      <c r="B67" t="s">
        <v>62</v>
      </c>
      <c r="C67" s="3">
        <v>45499</v>
      </c>
      <c r="D67" s="4">
        <v>12176</v>
      </c>
      <c r="E67" s="4">
        <v>1005</v>
      </c>
      <c r="F67" s="4">
        <v>862</v>
      </c>
      <c r="G67" s="4">
        <v>116619</v>
      </c>
      <c r="H67" s="4">
        <f>Table2[[#This Row],[Likes]]+Table2[[#This Row],[Shares]]+Table2[[#This Row],[Comments]]/Table2[[#This Row],[Impressions]]</f>
        <v>13181.007391591422</v>
      </c>
    </row>
    <row r="68" spans="1:8" x14ac:dyDescent="0.35">
      <c r="A68" t="s">
        <v>123</v>
      </c>
      <c r="B68" t="s">
        <v>41</v>
      </c>
      <c r="C68" s="3">
        <v>45745</v>
      </c>
      <c r="D68" s="4">
        <v>19461</v>
      </c>
      <c r="E68" s="4">
        <v>1382</v>
      </c>
      <c r="F68" s="4">
        <v>445</v>
      </c>
      <c r="G68" s="4">
        <v>151453</v>
      </c>
      <c r="H68" s="4">
        <f>Table2[[#This Row],[Likes]]+Table2[[#This Row],[Shares]]+Table2[[#This Row],[Comments]]/Table2[[#This Row],[Impressions]]</f>
        <v>20843.002938205253</v>
      </c>
    </row>
    <row r="69" spans="1:8" x14ac:dyDescent="0.35">
      <c r="A69" t="s">
        <v>124</v>
      </c>
      <c r="B69" t="s">
        <v>45</v>
      </c>
      <c r="C69" s="3">
        <v>45634</v>
      </c>
      <c r="D69" s="4">
        <v>10427</v>
      </c>
      <c r="E69" s="4">
        <v>1014</v>
      </c>
      <c r="F69" s="4">
        <v>166</v>
      </c>
      <c r="G69" s="4">
        <v>59816</v>
      </c>
      <c r="H69" s="4">
        <f>Table2[[#This Row],[Likes]]+Table2[[#This Row],[Shares]]+Table2[[#This Row],[Comments]]/Table2[[#This Row],[Impressions]]</f>
        <v>11441.00277517721</v>
      </c>
    </row>
    <row r="70" spans="1:8" x14ac:dyDescent="0.35">
      <c r="A70" t="s">
        <v>125</v>
      </c>
      <c r="B70" t="s">
        <v>41</v>
      </c>
      <c r="C70" s="3">
        <v>45724</v>
      </c>
      <c r="D70" s="4">
        <v>10580</v>
      </c>
      <c r="E70" s="4">
        <v>427</v>
      </c>
      <c r="F70" s="4">
        <v>790</v>
      </c>
      <c r="G70" s="4">
        <v>213312</v>
      </c>
      <c r="H70" s="4">
        <f>Table2[[#This Row],[Likes]]+Table2[[#This Row],[Shares]]+Table2[[#This Row],[Comments]]/Table2[[#This Row],[Impressions]]</f>
        <v>11007.003703495349</v>
      </c>
    </row>
    <row r="71" spans="1:8" x14ac:dyDescent="0.35">
      <c r="A71" t="s">
        <v>126</v>
      </c>
      <c r="B71" t="s">
        <v>62</v>
      </c>
      <c r="C71" s="3">
        <v>45749</v>
      </c>
      <c r="D71" s="4">
        <v>6858</v>
      </c>
      <c r="E71" s="4">
        <v>415</v>
      </c>
      <c r="F71" s="4">
        <v>366</v>
      </c>
      <c r="G71" s="4">
        <v>177348</v>
      </c>
      <c r="H71" s="4">
        <f>Table2[[#This Row],[Likes]]+Table2[[#This Row],[Shares]]+Table2[[#This Row],[Comments]]/Table2[[#This Row],[Impressions]]</f>
        <v>7273.002063739089</v>
      </c>
    </row>
    <row r="72" spans="1:8" x14ac:dyDescent="0.35">
      <c r="A72" t="s">
        <v>127</v>
      </c>
      <c r="B72" t="s">
        <v>62</v>
      </c>
      <c r="C72" s="3">
        <v>45537</v>
      </c>
      <c r="D72" s="4">
        <v>12040</v>
      </c>
      <c r="E72" s="4">
        <v>1147</v>
      </c>
      <c r="F72" s="4">
        <v>210</v>
      </c>
      <c r="G72" s="4">
        <v>119530</v>
      </c>
      <c r="H72" s="4">
        <f>Table2[[#This Row],[Likes]]+Table2[[#This Row],[Shares]]+Table2[[#This Row],[Comments]]/Table2[[#This Row],[Impressions]]</f>
        <v>13187.001756881118</v>
      </c>
    </row>
    <row r="73" spans="1:8" x14ac:dyDescent="0.35">
      <c r="A73" t="s">
        <v>128</v>
      </c>
      <c r="B73" t="s">
        <v>62</v>
      </c>
      <c r="C73" s="3">
        <v>45719</v>
      </c>
      <c r="D73" s="4">
        <v>24928</v>
      </c>
      <c r="E73" s="4">
        <v>214</v>
      </c>
      <c r="F73" s="4">
        <v>765</v>
      </c>
      <c r="G73" s="4">
        <v>194571</v>
      </c>
      <c r="H73" s="4">
        <f>Table2[[#This Row],[Likes]]+Table2[[#This Row],[Shares]]+Table2[[#This Row],[Comments]]/Table2[[#This Row],[Impressions]]</f>
        <v>25142.003931726722</v>
      </c>
    </row>
    <row r="74" spans="1:8" x14ac:dyDescent="0.35">
      <c r="A74" t="s">
        <v>129</v>
      </c>
      <c r="B74" t="s">
        <v>45</v>
      </c>
      <c r="C74" s="3">
        <v>45921</v>
      </c>
      <c r="D74" s="4">
        <v>23103</v>
      </c>
      <c r="E74" s="4">
        <v>1380</v>
      </c>
      <c r="F74" s="4">
        <v>191</v>
      </c>
      <c r="G74" s="4">
        <v>148856</v>
      </c>
      <c r="H74" s="4">
        <f>Table2[[#This Row],[Likes]]+Table2[[#This Row],[Shares]]+Table2[[#This Row],[Comments]]/Table2[[#This Row],[Impressions]]</f>
        <v>24483.001283119258</v>
      </c>
    </row>
    <row r="75" spans="1:8" x14ac:dyDescent="0.35">
      <c r="A75" t="s">
        <v>130</v>
      </c>
      <c r="B75" t="s">
        <v>62</v>
      </c>
      <c r="C75" s="3">
        <v>45593</v>
      </c>
      <c r="D75" s="4">
        <v>21198</v>
      </c>
      <c r="E75" s="4">
        <v>1484</v>
      </c>
      <c r="F75" s="4">
        <v>174</v>
      </c>
      <c r="G75" s="4">
        <v>111635</v>
      </c>
      <c r="H75" s="4">
        <f>Table2[[#This Row],[Likes]]+Table2[[#This Row],[Shares]]+Table2[[#This Row],[Comments]]/Table2[[#This Row],[Impressions]]</f>
        <v>22682.001558650962</v>
      </c>
    </row>
    <row r="76" spans="1:8" x14ac:dyDescent="0.35">
      <c r="A76" t="s">
        <v>131</v>
      </c>
      <c r="B76" t="s">
        <v>45</v>
      </c>
      <c r="C76" s="3">
        <v>45505</v>
      </c>
      <c r="D76" s="4">
        <v>21758</v>
      </c>
      <c r="E76" s="4">
        <v>1380</v>
      </c>
      <c r="F76" s="4">
        <v>188</v>
      </c>
      <c r="G76" s="4">
        <v>147803</v>
      </c>
      <c r="H76" s="4">
        <f>Table2[[#This Row],[Likes]]+Table2[[#This Row],[Shares]]+Table2[[#This Row],[Comments]]/Table2[[#This Row],[Impressions]]</f>
        <v>23138.001271963356</v>
      </c>
    </row>
    <row r="77" spans="1:8" x14ac:dyDescent="0.35">
      <c r="A77" t="s">
        <v>132</v>
      </c>
      <c r="B77" t="s">
        <v>62</v>
      </c>
      <c r="C77" s="3">
        <v>45603</v>
      </c>
      <c r="D77" s="4">
        <v>17254</v>
      </c>
      <c r="E77" s="4">
        <v>246</v>
      </c>
      <c r="F77" s="4">
        <v>952</v>
      </c>
      <c r="G77" s="4">
        <v>75946</v>
      </c>
      <c r="H77" s="4">
        <f>Table2[[#This Row],[Likes]]+Table2[[#This Row],[Shares]]+Table2[[#This Row],[Comments]]/Table2[[#This Row],[Impressions]]</f>
        <v>17500.012535222395</v>
      </c>
    </row>
    <row r="78" spans="1:8" x14ac:dyDescent="0.35">
      <c r="A78" t="s">
        <v>133</v>
      </c>
      <c r="B78" t="s">
        <v>41</v>
      </c>
      <c r="C78" s="3">
        <v>45720</v>
      </c>
      <c r="D78" s="4">
        <v>13470</v>
      </c>
      <c r="E78" s="4">
        <v>523</v>
      </c>
      <c r="F78" s="4">
        <v>280</v>
      </c>
      <c r="G78" s="4">
        <v>95204</v>
      </c>
      <c r="H78" s="4">
        <f>Table2[[#This Row],[Likes]]+Table2[[#This Row],[Shares]]+Table2[[#This Row],[Comments]]/Table2[[#This Row],[Impressions]]</f>
        <v>13993.002941052897</v>
      </c>
    </row>
    <row r="79" spans="1:8" x14ac:dyDescent="0.35">
      <c r="A79" t="s">
        <v>134</v>
      </c>
      <c r="B79" t="s">
        <v>41</v>
      </c>
      <c r="C79" s="3">
        <v>45460</v>
      </c>
      <c r="D79" s="4">
        <v>3252</v>
      </c>
      <c r="E79" s="4">
        <v>1043</v>
      </c>
      <c r="F79" s="4">
        <v>647</v>
      </c>
      <c r="G79" s="4">
        <v>222958</v>
      </c>
      <c r="H79" s="4">
        <f>Table2[[#This Row],[Likes]]+Table2[[#This Row],[Shares]]+Table2[[#This Row],[Comments]]/Table2[[#This Row],[Impressions]]</f>
        <v>4295.0029018918358</v>
      </c>
    </row>
    <row r="80" spans="1:8" x14ac:dyDescent="0.35">
      <c r="A80" t="s">
        <v>135</v>
      </c>
      <c r="B80" t="s">
        <v>36</v>
      </c>
      <c r="C80" s="3">
        <v>45922</v>
      </c>
      <c r="D80" s="4">
        <v>8996</v>
      </c>
      <c r="E80" s="4">
        <v>329</v>
      </c>
      <c r="F80" s="4">
        <v>378</v>
      </c>
      <c r="G80" s="4">
        <v>242724</v>
      </c>
      <c r="H80" s="4">
        <f>Table2[[#This Row],[Likes]]+Table2[[#This Row],[Shares]]+Table2[[#This Row],[Comments]]/Table2[[#This Row],[Impressions]]</f>
        <v>9325.0015573243691</v>
      </c>
    </row>
    <row r="81" spans="1:8" x14ac:dyDescent="0.35">
      <c r="A81" t="s">
        <v>137</v>
      </c>
      <c r="B81" t="s">
        <v>41</v>
      </c>
      <c r="C81" s="3">
        <v>45456</v>
      </c>
      <c r="D81" s="4">
        <v>14173</v>
      </c>
      <c r="E81" s="4">
        <v>294</v>
      </c>
      <c r="F81" s="4">
        <v>257</v>
      </c>
      <c r="G81" s="4">
        <v>55563</v>
      </c>
      <c r="H81" s="4">
        <f>Table2[[#This Row],[Likes]]+Table2[[#This Row],[Shares]]+Table2[[#This Row],[Comments]]/Table2[[#This Row],[Impressions]]</f>
        <v>14467.004625380199</v>
      </c>
    </row>
    <row r="82" spans="1:8" x14ac:dyDescent="0.35">
      <c r="A82" t="s">
        <v>138</v>
      </c>
      <c r="B82" t="s">
        <v>36</v>
      </c>
      <c r="C82" s="3">
        <v>45584</v>
      </c>
      <c r="D82" s="4">
        <v>6673</v>
      </c>
      <c r="E82" s="4">
        <v>826</v>
      </c>
      <c r="F82" s="4">
        <v>321</v>
      </c>
      <c r="G82" s="4">
        <v>132324</v>
      </c>
      <c r="H82" s="4">
        <f>Table2[[#This Row],[Likes]]+Table2[[#This Row],[Shares]]+Table2[[#This Row],[Comments]]/Table2[[#This Row],[Impressions]]</f>
        <v>7499.0024258637886</v>
      </c>
    </row>
    <row r="83" spans="1:8" x14ac:dyDescent="0.35">
      <c r="A83" t="s">
        <v>139</v>
      </c>
      <c r="B83" t="s">
        <v>41</v>
      </c>
      <c r="C83" s="3">
        <v>45497</v>
      </c>
      <c r="D83" s="4">
        <v>22914</v>
      </c>
      <c r="E83" s="4">
        <v>954</v>
      </c>
      <c r="F83" s="4">
        <v>584</v>
      </c>
      <c r="G83" s="4">
        <v>49847</v>
      </c>
      <c r="H83" s="4">
        <f>Table2[[#This Row],[Likes]]+Table2[[#This Row],[Shares]]+Table2[[#This Row],[Comments]]/Table2[[#This Row],[Impressions]]</f>
        <v>23868.011715850502</v>
      </c>
    </row>
    <row r="84" spans="1:8" x14ac:dyDescent="0.35">
      <c r="A84" t="s">
        <v>140</v>
      </c>
      <c r="B84" t="s">
        <v>45</v>
      </c>
      <c r="C84" s="3">
        <v>45580</v>
      </c>
      <c r="D84" s="4">
        <v>17781</v>
      </c>
      <c r="E84" s="4">
        <v>993</v>
      </c>
      <c r="F84" s="4">
        <v>627</v>
      </c>
      <c r="G84" s="4">
        <v>66155</v>
      </c>
      <c r="H84" s="4">
        <f>Table2[[#This Row],[Likes]]+Table2[[#This Row],[Shares]]+Table2[[#This Row],[Comments]]/Table2[[#This Row],[Impressions]]</f>
        <v>18774.009477741667</v>
      </c>
    </row>
    <row r="85" spans="1:8" x14ac:dyDescent="0.35">
      <c r="A85" t="s">
        <v>141</v>
      </c>
      <c r="B85" t="s">
        <v>41</v>
      </c>
      <c r="C85" s="3">
        <v>45635</v>
      </c>
      <c r="D85" s="4">
        <v>15051</v>
      </c>
      <c r="E85" s="4">
        <v>268</v>
      </c>
      <c r="F85" s="4">
        <v>251</v>
      </c>
      <c r="G85" s="4">
        <v>119671</v>
      </c>
      <c r="H85" s="4">
        <f>Table2[[#This Row],[Likes]]+Table2[[#This Row],[Shares]]+Table2[[#This Row],[Comments]]/Table2[[#This Row],[Impressions]]</f>
        <v>15319.002097417086</v>
      </c>
    </row>
    <row r="86" spans="1:8" x14ac:dyDescent="0.35">
      <c r="A86" t="s">
        <v>142</v>
      </c>
      <c r="B86" t="s">
        <v>36</v>
      </c>
      <c r="C86" s="3">
        <v>45766</v>
      </c>
      <c r="D86" s="4">
        <v>8881</v>
      </c>
      <c r="E86" s="4">
        <v>210</v>
      </c>
      <c r="F86" s="4">
        <v>673</v>
      </c>
      <c r="G86" s="4">
        <v>156891</v>
      </c>
      <c r="H86" s="4">
        <f>Table2[[#This Row],[Likes]]+Table2[[#This Row],[Shares]]+Table2[[#This Row],[Comments]]/Table2[[#This Row],[Impressions]]</f>
        <v>9091.0042896023351</v>
      </c>
    </row>
    <row r="87" spans="1:8" x14ac:dyDescent="0.35">
      <c r="A87" t="s">
        <v>143</v>
      </c>
      <c r="B87" t="s">
        <v>36</v>
      </c>
      <c r="C87" s="3">
        <v>45684</v>
      </c>
      <c r="D87" s="4">
        <v>8949</v>
      </c>
      <c r="E87" s="4">
        <v>1477</v>
      </c>
      <c r="F87" s="4">
        <v>424</v>
      </c>
      <c r="G87" s="4">
        <v>123310</v>
      </c>
      <c r="H87" s="4">
        <f>Table2[[#This Row],[Likes]]+Table2[[#This Row],[Shares]]+Table2[[#This Row],[Comments]]/Table2[[#This Row],[Impressions]]</f>
        <v>10426.003438488362</v>
      </c>
    </row>
    <row r="88" spans="1:8" x14ac:dyDescent="0.35">
      <c r="A88" t="s">
        <v>144</v>
      </c>
      <c r="B88" t="s">
        <v>62</v>
      </c>
      <c r="C88" s="3">
        <v>45449</v>
      </c>
      <c r="D88" s="4">
        <v>11521</v>
      </c>
      <c r="E88" s="4">
        <v>1071</v>
      </c>
      <c r="F88" s="4">
        <v>762</v>
      </c>
      <c r="G88" s="4">
        <v>238350</v>
      </c>
      <c r="H88" s="4">
        <f>Table2[[#This Row],[Likes]]+Table2[[#This Row],[Shares]]+Table2[[#This Row],[Comments]]/Table2[[#This Row],[Impressions]]</f>
        <v>12592.003196979233</v>
      </c>
    </row>
    <row r="89" spans="1:8" x14ac:dyDescent="0.35">
      <c r="A89" t="s">
        <v>145</v>
      </c>
      <c r="B89" t="s">
        <v>45</v>
      </c>
      <c r="C89" s="3">
        <v>45480</v>
      </c>
      <c r="D89" s="4">
        <v>24625</v>
      </c>
      <c r="E89" s="4">
        <v>749</v>
      </c>
      <c r="F89" s="4">
        <v>193</v>
      </c>
      <c r="G89" s="4">
        <v>189381</v>
      </c>
      <c r="H89" s="4">
        <f>Table2[[#This Row],[Likes]]+Table2[[#This Row],[Shares]]+Table2[[#This Row],[Comments]]/Table2[[#This Row],[Impressions]]</f>
        <v>25374.001019109626</v>
      </c>
    </row>
    <row r="90" spans="1:8" x14ac:dyDescent="0.35">
      <c r="A90" t="s">
        <v>146</v>
      </c>
      <c r="B90" t="s">
        <v>41</v>
      </c>
      <c r="C90" s="3">
        <v>45923</v>
      </c>
      <c r="D90" s="4">
        <v>10017</v>
      </c>
      <c r="E90" s="4">
        <v>1357</v>
      </c>
      <c r="F90" s="4">
        <v>966</v>
      </c>
      <c r="G90" s="4">
        <v>171691</v>
      </c>
      <c r="H90" s="4">
        <f>Table2[[#This Row],[Likes]]+Table2[[#This Row],[Shares]]+Table2[[#This Row],[Comments]]/Table2[[#This Row],[Impressions]]</f>
        <v>11374.005626386939</v>
      </c>
    </row>
    <row r="91" spans="1:8" x14ac:dyDescent="0.35">
      <c r="A91" t="s">
        <v>147</v>
      </c>
      <c r="B91" t="s">
        <v>62</v>
      </c>
      <c r="C91" s="3">
        <v>45446</v>
      </c>
      <c r="D91" s="4">
        <v>8941</v>
      </c>
      <c r="E91" s="4">
        <v>911</v>
      </c>
      <c r="F91" s="4">
        <v>166</v>
      </c>
      <c r="G91" s="4">
        <v>221180</v>
      </c>
      <c r="H91" s="4">
        <f>Table2[[#This Row],[Likes]]+Table2[[#This Row],[Shares]]+Table2[[#This Row],[Comments]]/Table2[[#This Row],[Impressions]]</f>
        <v>9852.0007505199392</v>
      </c>
    </row>
    <row r="92" spans="1:8" x14ac:dyDescent="0.35">
      <c r="A92" t="s">
        <v>148</v>
      </c>
      <c r="B92" t="s">
        <v>41</v>
      </c>
      <c r="C92" s="3">
        <v>45924</v>
      </c>
      <c r="D92" s="4">
        <v>12209</v>
      </c>
      <c r="E92" s="4">
        <v>222</v>
      </c>
      <c r="F92" s="4">
        <v>479</v>
      </c>
      <c r="G92" s="4">
        <v>74707</v>
      </c>
      <c r="H92" s="4">
        <f>Table2[[#This Row],[Likes]]+Table2[[#This Row],[Shares]]+Table2[[#This Row],[Comments]]/Table2[[#This Row],[Impressions]]</f>
        <v>12431.0064117151</v>
      </c>
    </row>
    <row r="93" spans="1:8" x14ac:dyDescent="0.35">
      <c r="A93" t="s">
        <v>149</v>
      </c>
      <c r="B93" t="s">
        <v>41</v>
      </c>
      <c r="C93" s="3">
        <v>45586</v>
      </c>
      <c r="D93" s="4">
        <v>19715</v>
      </c>
      <c r="E93" s="4">
        <v>1014</v>
      </c>
      <c r="F93" s="4">
        <v>718</v>
      </c>
      <c r="G93" s="4">
        <v>191409</v>
      </c>
      <c r="H93" s="4">
        <f>Table2[[#This Row],[Likes]]+Table2[[#This Row],[Shares]]+Table2[[#This Row],[Comments]]/Table2[[#This Row],[Impressions]]</f>
        <v>20729.003751129781</v>
      </c>
    </row>
    <row r="94" spans="1:8" x14ac:dyDescent="0.35">
      <c r="A94" t="s">
        <v>150</v>
      </c>
      <c r="B94" t="s">
        <v>62</v>
      </c>
      <c r="C94" s="3">
        <v>45637</v>
      </c>
      <c r="D94" s="4">
        <v>22645</v>
      </c>
      <c r="E94" s="4">
        <v>545</v>
      </c>
      <c r="F94" s="4">
        <v>972</v>
      </c>
      <c r="G94" s="4">
        <v>121537</v>
      </c>
      <c r="H94" s="4">
        <f>Table2[[#This Row],[Likes]]+Table2[[#This Row],[Shares]]+Table2[[#This Row],[Comments]]/Table2[[#This Row],[Impressions]]</f>
        <v>23190.007997564528</v>
      </c>
    </row>
    <row r="95" spans="1:8" x14ac:dyDescent="0.35">
      <c r="A95" t="s">
        <v>151</v>
      </c>
      <c r="B95" t="s">
        <v>62</v>
      </c>
      <c r="C95" s="3">
        <v>45603</v>
      </c>
      <c r="D95" s="4">
        <v>11550</v>
      </c>
      <c r="E95" s="4">
        <v>501</v>
      </c>
      <c r="F95" s="4">
        <v>646</v>
      </c>
      <c r="G95" s="4">
        <v>237576</v>
      </c>
      <c r="H95" s="4">
        <f>Table2[[#This Row],[Likes]]+Table2[[#This Row],[Shares]]+Table2[[#This Row],[Comments]]/Table2[[#This Row],[Impressions]]</f>
        <v>12051.002719129878</v>
      </c>
    </row>
    <row r="96" spans="1:8" x14ac:dyDescent="0.35">
      <c r="A96" t="s">
        <v>152</v>
      </c>
      <c r="B96" t="s">
        <v>62</v>
      </c>
      <c r="C96" s="3">
        <v>45604</v>
      </c>
      <c r="D96" s="4">
        <v>23499</v>
      </c>
      <c r="E96" s="4">
        <v>562</v>
      </c>
      <c r="F96" s="4">
        <v>964</v>
      </c>
      <c r="G96" s="4">
        <v>218686</v>
      </c>
      <c r="H96" s="4">
        <f>Table2[[#This Row],[Likes]]+Table2[[#This Row],[Shares]]+Table2[[#This Row],[Comments]]/Table2[[#This Row],[Impressions]]</f>
        <v>24061.00440814684</v>
      </c>
    </row>
    <row r="97" spans="1:8" x14ac:dyDescent="0.35">
      <c r="A97" t="s">
        <v>153</v>
      </c>
      <c r="B97" t="s">
        <v>62</v>
      </c>
      <c r="C97" s="3">
        <v>45545</v>
      </c>
      <c r="D97" s="4">
        <v>6637</v>
      </c>
      <c r="E97" s="4">
        <v>595</v>
      </c>
      <c r="F97" s="4">
        <v>161</v>
      </c>
      <c r="G97" s="4">
        <v>131155</v>
      </c>
      <c r="H97" s="4">
        <f>Table2[[#This Row],[Likes]]+Table2[[#This Row],[Shares]]+Table2[[#This Row],[Comments]]/Table2[[#This Row],[Impressions]]</f>
        <v>7232.0012275551826</v>
      </c>
    </row>
    <row r="98" spans="1:8" x14ac:dyDescent="0.35">
      <c r="A98" t="s">
        <v>154</v>
      </c>
      <c r="B98" t="s">
        <v>62</v>
      </c>
      <c r="C98" s="3">
        <v>45517</v>
      </c>
      <c r="D98" s="4">
        <v>6854</v>
      </c>
      <c r="E98" s="4">
        <v>417</v>
      </c>
      <c r="F98" s="4">
        <v>467</v>
      </c>
      <c r="G98" s="4">
        <v>40281</v>
      </c>
      <c r="H98" s="4">
        <f>Table2[[#This Row],[Likes]]+Table2[[#This Row],[Shares]]+Table2[[#This Row],[Comments]]/Table2[[#This Row],[Impressions]]</f>
        <v>7271.011593555274</v>
      </c>
    </row>
    <row r="99" spans="1:8" x14ac:dyDescent="0.35">
      <c r="A99" t="s">
        <v>155</v>
      </c>
      <c r="B99" t="s">
        <v>41</v>
      </c>
      <c r="C99" s="3">
        <v>45453</v>
      </c>
      <c r="D99" s="4">
        <v>21561</v>
      </c>
      <c r="E99" s="4">
        <v>340</v>
      </c>
      <c r="F99" s="4">
        <v>741</v>
      </c>
      <c r="G99" s="4">
        <v>198492</v>
      </c>
      <c r="H99" s="4">
        <f>Table2[[#This Row],[Likes]]+Table2[[#This Row],[Shares]]+Table2[[#This Row],[Comments]]/Table2[[#This Row],[Impressions]]</f>
        <v>21901.003733147936</v>
      </c>
    </row>
    <row r="100" spans="1:8" x14ac:dyDescent="0.35">
      <c r="A100" t="s">
        <v>156</v>
      </c>
      <c r="B100" t="s">
        <v>62</v>
      </c>
      <c r="C100" s="3">
        <v>45475</v>
      </c>
      <c r="D100" s="4">
        <v>12320</v>
      </c>
      <c r="E100" s="4">
        <v>1157</v>
      </c>
      <c r="F100" s="4">
        <v>365</v>
      </c>
      <c r="G100" s="4">
        <v>210102</v>
      </c>
      <c r="H100" s="4">
        <f>Table2[[#This Row],[Likes]]+Table2[[#This Row],[Shares]]+Table2[[#This Row],[Comments]]/Table2[[#This Row],[Impressions]]</f>
        <v>13477.00173725143</v>
      </c>
    </row>
    <row r="101" spans="1:8" x14ac:dyDescent="0.35">
      <c r="A101" t="s">
        <v>157</v>
      </c>
      <c r="B101" t="s">
        <v>45</v>
      </c>
      <c r="C101" s="3">
        <v>45925</v>
      </c>
      <c r="D101" s="4">
        <v>20564</v>
      </c>
      <c r="E101" s="4">
        <v>1433</v>
      </c>
      <c r="F101" s="4">
        <v>488</v>
      </c>
      <c r="G101" s="4">
        <v>172130</v>
      </c>
      <c r="H101" s="4">
        <f>Table2[[#This Row],[Likes]]+Table2[[#This Row],[Shares]]+Table2[[#This Row],[Comments]]/Table2[[#This Row],[Impressions]]</f>
        <v>21997.00283506652</v>
      </c>
    </row>
    <row r="102" spans="1:8" x14ac:dyDescent="0.35">
      <c r="A102" t="s">
        <v>158</v>
      </c>
      <c r="B102" t="s">
        <v>36</v>
      </c>
      <c r="C102" s="3">
        <v>45583</v>
      </c>
      <c r="D102" s="4">
        <v>6892</v>
      </c>
      <c r="E102" s="4">
        <v>1184</v>
      </c>
      <c r="F102" s="4">
        <v>925</v>
      </c>
      <c r="G102" s="4">
        <v>116260</v>
      </c>
      <c r="H102" s="4">
        <f>Table2[[#This Row],[Likes]]+Table2[[#This Row],[Shares]]+Table2[[#This Row],[Comments]]/Table2[[#This Row],[Impressions]]</f>
        <v>8076.0079563048339</v>
      </c>
    </row>
    <row r="103" spans="1:8" x14ac:dyDescent="0.35">
      <c r="A103" t="s">
        <v>159</v>
      </c>
      <c r="B103" t="s">
        <v>62</v>
      </c>
      <c r="C103" s="3">
        <v>45926</v>
      </c>
      <c r="D103" s="4">
        <v>9043</v>
      </c>
      <c r="E103" s="4">
        <v>1192</v>
      </c>
      <c r="F103" s="4">
        <v>810</v>
      </c>
      <c r="G103" s="4">
        <v>199476</v>
      </c>
      <c r="H103" s="4">
        <f>Table2[[#This Row],[Likes]]+Table2[[#This Row],[Shares]]+Table2[[#This Row],[Comments]]/Table2[[#This Row],[Impressions]]</f>
        <v>10235.004060638874</v>
      </c>
    </row>
    <row r="104" spans="1:8" x14ac:dyDescent="0.35">
      <c r="A104" t="s">
        <v>160</v>
      </c>
      <c r="B104" t="s">
        <v>62</v>
      </c>
      <c r="C104" s="3">
        <v>45927</v>
      </c>
      <c r="D104" s="4">
        <v>18521</v>
      </c>
      <c r="E104" s="4">
        <v>1027</v>
      </c>
      <c r="F104" s="4">
        <v>230</v>
      </c>
      <c r="G104" s="4">
        <v>200928</v>
      </c>
      <c r="H104" s="4">
        <f>Table2[[#This Row],[Likes]]+Table2[[#This Row],[Shares]]+Table2[[#This Row],[Comments]]/Table2[[#This Row],[Impressions]]</f>
        <v>19548.001144688646</v>
      </c>
    </row>
    <row r="105" spans="1:8" x14ac:dyDescent="0.35">
      <c r="A105" t="s">
        <v>161</v>
      </c>
      <c r="B105" t="s">
        <v>41</v>
      </c>
      <c r="C105" s="3">
        <v>45739</v>
      </c>
      <c r="D105" s="4">
        <v>24711</v>
      </c>
      <c r="E105" s="4">
        <v>882</v>
      </c>
      <c r="F105" s="4">
        <v>876</v>
      </c>
      <c r="G105" s="4">
        <v>180272</v>
      </c>
      <c r="H105" s="4">
        <f>Table2[[#This Row],[Likes]]+Table2[[#This Row],[Shares]]+Table2[[#This Row],[Comments]]/Table2[[#This Row],[Impressions]]</f>
        <v>25593.00485932369</v>
      </c>
    </row>
    <row r="106" spans="1:8" x14ac:dyDescent="0.35">
      <c r="A106" t="s">
        <v>162</v>
      </c>
      <c r="B106" t="s">
        <v>62</v>
      </c>
      <c r="C106" s="3">
        <v>45457</v>
      </c>
      <c r="D106" s="4">
        <v>21856</v>
      </c>
      <c r="E106" s="4">
        <v>1203</v>
      </c>
      <c r="F106" s="4">
        <v>634</v>
      </c>
      <c r="G106" s="4">
        <v>104178</v>
      </c>
      <c r="H106" s="4">
        <f>Table2[[#This Row],[Likes]]+Table2[[#This Row],[Shares]]+Table2[[#This Row],[Comments]]/Table2[[#This Row],[Impressions]]</f>
        <v>23059.00608573787</v>
      </c>
    </row>
    <row r="107" spans="1:8" x14ac:dyDescent="0.35">
      <c r="A107" t="s">
        <v>163</v>
      </c>
      <c r="B107" t="s">
        <v>62</v>
      </c>
      <c r="C107" s="3">
        <v>45692</v>
      </c>
      <c r="D107" s="4">
        <v>23833</v>
      </c>
      <c r="E107" s="4">
        <v>555</v>
      </c>
      <c r="F107" s="4">
        <v>523</v>
      </c>
      <c r="G107" s="4">
        <v>73997</v>
      </c>
      <c r="H107" s="4">
        <f>Table2[[#This Row],[Likes]]+Table2[[#This Row],[Shares]]+Table2[[#This Row],[Comments]]/Table2[[#This Row],[Impressions]]</f>
        <v>24388.007067854101</v>
      </c>
    </row>
    <row r="108" spans="1:8" x14ac:dyDescent="0.35">
      <c r="A108" t="s">
        <v>164</v>
      </c>
      <c r="B108" t="s">
        <v>62</v>
      </c>
      <c r="C108" s="3">
        <v>45464</v>
      </c>
      <c r="D108" s="4">
        <v>21216</v>
      </c>
      <c r="E108" s="4">
        <v>1207</v>
      </c>
      <c r="F108" s="4">
        <v>859</v>
      </c>
      <c r="G108" s="4">
        <v>196683</v>
      </c>
      <c r="H108" s="4">
        <f>Table2[[#This Row],[Likes]]+Table2[[#This Row],[Shares]]+Table2[[#This Row],[Comments]]/Table2[[#This Row],[Impressions]]</f>
        <v>22423.004367433892</v>
      </c>
    </row>
    <row r="109" spans="1:8" x14ac:dyDescent="0.35">
      <c r="A109" t="s">
        <v>165</v>
      </c>
      <c r="B109" t="s">
        <v>41</v>
      </c>
      <c r="C109" s="3">
        <v>45928</v>
      </c>
      <c r="D109" s="4">
        <v>21963</v>
      </c>
      <c r="E109" s="4">
        <v>1356</v>
      </c>
      <c r="F109" s="4">
        <v>349</v>
      </c>
      <c r="G109" s="4">
        <v>159273</v>
      </c>
      <c r="H109" s="4">
        <f>Table2[[#This Row],[Likes]]+Table2[[#This Row],[Shares]]+Table2[[#This Row],[Comments]]/Table2[[#This Row],[Impressions]]</f>
        <v>23319.002191206295</v>
      </c>
    </row>
    <row r="110" spans="1:8" x14ac:dyDescent="0.35">
      <c r="A110" t="s">
        <v>166</v>
      </c>
      <c r="B110" t="s">
        <v>62</v>
      </c>
      <c r="C110" s="3">
        <v>45512</v>
      </c>
      <c r="D110" s="4">
        <v>24355</v>
      </c>
      <c r="E110" s="4">
        <v>1087</v>
      </c>
      <c r="F110" s="4">
        <v>686</v>
      </c>
      <c r="G110" s="4">
        <v>212307</v>
      </c>
      <c r="H110" s="4">
        <f>Table2[[#This Row],[Likes]]+Table2[[#This Row],[Shares]]+Table2[[#This Row],[Comments]]/Table2[[#This Row],[Impressions]]</f>
        <v>25442.003231169958</v>
      </c>
    </row>
    <row r="111" spans="1:8" x14ac:dyDescent="0.35">
      <c r="A111" t="s">
        <v>167</v>
      </c>
      <c r="B111" t="s">
        <v>36</v>
      </c>
      <c r="C111" s="3">
        <v>45502</v>
      </c>
      <c r="D111" s="4">
        <v>6164</v>
      </c>
      <c r="E111" s="4">
        <v>326</v>
      </c>
      <c r="F111" s="4">
        <v>615</v>
      </c>
      <c r="G111" s="4">
        <v>206129</v>
      </c>
      <c r="H111" s="4">
        <f>Table2[[#This Row],[Likes]]+Table2[[#This Row],[Shares]]+Table2[[#This Row],[Comments]]/Table2[[#This Row],[Impressions]]</f>
        <v>6490.0029835685418</v>
      </c>
    </row>
    <row r="112" spans="1:8" x14ac:dyDescent="0.35">
      <c r="A112" t="s">
        <v>168</v>
      </c>
      <c r="B112" t="s">
        <v>41</v>
      </c>
      <c r="C112" s="3">
        <v>45619</v>
      </c>
      <c r="D112" s="4">
        <v>9941</v>
      </c>
      <c r="E112" s="4">
        <v>1329</v>
      </c>
      <c r="F112" s="4">
        <v>238</v>
      </c>
      <c r="G112" s="4">
        <v>172311</v>
      </c>
      <c r="H112" s="4">
        <f>Table2[[#This Row],[Likes]]+Table2[[#This Row],[Shares]]+Table2[[#This Row],[Comments]]/Table2[[#This Row],[Impressions]]</f>
        <v>11270.001381223485</v>
      </c>
    </row>
    <row r="113" spans="1:8" x14ac:dyDescent="0.35">
      <c r="A113" t="s">
        <v>169</v>
      </c>
      <c r="B113" t="s">
        <v>36</v>
      </c>
      <c r="C113" s="3">
        <v>45570</v>
      </c>
      <c r="D113" s="4">
        <v>16388</v>
      </c>
      <c r="E113" s="4">
        <v>1208</v>
      </c>
      <c r="F113" s="4">
        <v>417</v>
      </c>
      <c r="G113" s="4">
        <v>236733</v>
      </c>
      <c r="H113" s="4">
        <f>Table2[[#This Row],[Likes]]+Table2[[#This Row],[Shares]]+Table2[[#This Row],[Comments]]/Table2[[#This Row],[Impressions]]</f>
        <v>17596.001761478121</v>
      </c>
    </row>
    <row r="114" spans="1:8" x14ac:dyDescent="0.35">
      <c r="A114" t="s">
        <v>170</v>
      </c>
      <c r="B114" t="s">
        <v>41</v>
      </c>
      <c r="C114" s="3">
        <v>45929</v>
      </c>
      <c r="D114" s="4">
        <v>7569</v>
      </c>
      <c r="E114" s="4">
        <v>803</v>
      </c>
      <c r="F114" s="4">
        <v>804</v>
      </c>
      <c r="G114" s="4">
        <v>166945</v>
      </c>
      <c r="H114" s="4">
        <f>Table2[[#This Row],[Likes]]+Table2[[#This Row],[Shares]]+Table2[[#This Row],[Comments]]/Table2[[#This Row],[Impressions]]</f>
        <v>8372.0048159573507</v>
      </c>
    </row>
    <row r="115" spans="1:8" x14ac:dyDescent="0.35">
      <c r="A115" t="s">
        <v>171</v>
      </c>
      <c r="B115" t="s">
        <v>62</v>
      </c>
      <c r="C115" s="3">
        <v>45610</v>
      </c>
      <c r="D115" s="4">
        <v>6300</v>
      </c>
      <c r="E115" s="4">
        <v>1213</v>
      </c>
      <c r="F115" s="4">
        <v>720</v>
      </c>
      <c r="G115" s="4">
        <v>85272</v>
      </c>
      <c r="H115" s="4">
        <f>Table2[[#This Row],[Likes]]+Table2[[#This Row],[Shares]]+Table2[[#This Row],[Comments]]/Table2[[#This Row],[Impressions]]</f>
        <v>7513.008443568815</v>
      </c>
    </row>
    <row r="116" spans="1:8" x14ac:dyDescent="0.35">
      <c r="A116" t="s">
        <v>172</v>
      </c>
      <c r="B116" t="s">
        <v>36</v>
      </c>
      <c r="C116" s="3">
        <v>45930</v>
      </c>
      <c r="D116" s="4">
        <v>8269</v>
      </c>
      <c r="E116" s="4">
        <v>250</v>
      </c>
      <c r="F116" s="4">
        <v>638</v>
      </c>
      <c r="G116" s="4">
        <v>129393</v>
      </c>
      <c r="H116" s="4">
        <f>Table2[[#This Row],[Likes]]+Table2[[#This Row],[Shares]]+Table2[[#This Row],[Comments]]/Table2[[#This Row],[Impressions]]</f>
        <v>8519.0049307149529</v>
      </c>
    </row>
    <row r="117" spans="1:8" x14ac:dyDescent="0.35">
      <c r="A117" t="s">
        <v>173</v>
      </c>
      <c r="B117" t="s">
        <v>41</v>
      </c>
      <c r="C117" s="3">
        <v>45734</v>
      </c>
      <c r="D117" s="4">
        <v>5818</v>
      </c>
      <c r="E117" s="4">
        <v>1252</v>
      </c>
      <c r="F117" s="4">
        <v>687</v>
      </c>
      <c r="G117" s="4">
        <v>101212</v>
      </c>
      <c r="H117" s="4">
        <f>Table2[[#This Row],[Likes]]+Table2[[#This Row],[Shares]]+Table2[[#This Row],[Comments]]/Table2[[#This Row],[Impressions]]</f>
        <v>7070.0067877326801</v>
      </c>
    </row>
    <row r="118" spans="1:8" x14ac:dyDescent="0.35">
      <c r="A118" t="s">
        <v>174</v>
      </c>
      <c r="B118" t="s">
        <v>45</v>
      </c>
      <c r="C118" s="3">
        <v>45600</v>
      </c>
      <c r="D118" s="4">
        <v>14015</v>
      </c>
      <c r="E118" s="4">
        <v>978</v>
      </c>
      <c r="F118" s="4">
        <v>196</v>
      </c>
      <c r="G118" s="4">
        <v>186470</v>
      </c>
      <c r="H118" s="4">
        <f>Table2[[#This Row],[Likes]]+Table2[[#This Row],[Shares]]+Table2[[#This Row],[Comments]]/Table2[[#This Row],[Impressions]]</f>
        <v>14993.001051107416</v>
      </c>
    </row>
    <row r="119" spans="1:8" x14ac:dyDescent="0.35">
      <c r="A119" t="s">
        <v>175</v>
      </c>
      <c r="B119" t="s">
        <v>62</v>
      </c>
      <c r="C119" s="3">
        <v>45600</v>
      </c>
      <c r="D119" s="4">
        <v>14234</v>
      </c>
      <c r="E119" s="4">
        <v>1013</v>
      </c>
      <c r="F119" s="4">
        <v>437</v>
      </c>
      <c r="G119" s="4">
        <v>160030</v>
      </c>
      <c r="H119" s="4">
        <f>Table2[[#This Row],[Likes]]+Table2[[#This Row],[Shares]]+Table2[[#This Row],[Comments]]/Table2[[#This Row],[Impressions]]</f>
        <v>15247.002730737986</v>
      </c>
    </row>
    <row r="120" spans="1:8" x14ac:dyDescent="0.35">
      <c r="A120" t="s">
        <v>176</v>
      </c>
      <c r="B120" t="s">
        <v>41</v>
      </c>
      <c r="C120" s="3">
        <v>45695</v>
      </c>
      <c r="D120" s="4">
        <v>20290</v>
      </c>
      <c r="E120" s="4">
        <v>619</v>
      </c>
      <c r="F120" s="4">
        <v>927</v>
      </c>
      <c r="G120" s="4">
        <v>96503</v>
      </c>
      <c r="H120" s="4">
        <f>Table2[[#This Row],[Likes]]+Table2[[#This Row],[Shares]]+Table2[[#This Row],[Comments]]/Table2[[#This Row],[Impressions]]</f>
        <v>20909.009605918985</v>
      </c>
    </row>
    <row r="121" spans="1:8" x14ac:dyDescent="0.35">
      <c r="A121" t="s">
        <v>177</v>
      </c>
      <c r="B121" t="s">
        <v>45</v>
      </c>
      <c r="C121" s="3">
        <v>45586</v>
      </c>
      <c r="D121" s="4">
        <v>8254</v>
      </c>
      <c r="E121" s="4">
        <v>1405</v>
      </c>
      <c r="F121" s="4">
        <v>165</v>
      </c>
      <c r="G121" s="4">
        <v>177710</v>
      </c>
      <c r="H121" s="4">
        <f>Table2[[#This Row],[Likes]]+Table2[[#This Row],[Shares]]+Table2[[#This Row],[Comments]]/Table2[[#This Row],[Impressions]]</f>
        <v>9659.000928478983</v>
      </c>
    </row>
    <row r="122" spans="1:8" x14ac:dyDescent="0.35">
      <c r="A122" t="s">
        <v>178</v>
      </c>
      <c r="B122" t="s">
        <v>41</v>
      </c>
      <c r="C122" s="3">
        <v>45502</v>
      </c>
      <c r="D122" s="4">
        <v>19144</v>
      </c>
      <c r="E122" s="4">
        <v>1182</v>
      </c>
      <c r="F122" s="4">
        <v>860</v>
      </c>
      <c r="G122" s="4">
        <v>46570</v>
      </c>
      <c r="H122" s="4">
        <f>Table2[[#This Row],[Likes]]+Table2[[#This Row],[Shares]]+Table2[[#This Row],[Comments]]/Table2[[#This Row],[Impressions]]</f>
        <v>20326.018466824135</v>
      </c>
    </row>
    <row r="123" spans="1:8" x14ac:dyDescent="0.35">
      <c r="A123" t="s">
        <v>179</v>
      </c>
      <c r="B123" t="s">
        <v>45</v>
      </c>
      <c r="C123" s="3">
        <v>45567</v>
      </c>
      <c r="D123" s="4">
        <v>9350</v>
      </c>
      <c r="E123" s="4">
        <v>1024</v>
      </c>
      <c r="F123" s="4">
        <v>550</v>
      </c>
      <c r="G123" s="4">
        <v>108785</v>
      </c>
      <c r="H123" s="4">
        <f>Table2[[#This Row],[Likes]]+Table2[[#This Row],[Shares]]+Table2[[#This Row],[Comments]]/Table2[[#This Row],[Impressions]]</f>
        <v>10374.005055844096</v>
      </c>
    </row>
    <row r="124" spans="1:8" x14ac:dyDescent="0.35">
      <c r="A124" t="s">
        <v>180</v>
      </c>
      <c r="B124" t="s">
        <v>62</v>
      </c>
      <c r="C124" s="3">
        <v>45457</v>
      </c>
      <c r="D124" s="4">
        <v>17183</v>
      </c>
      <c r="E124" s="4">
        <v>1224</v>
      </c>
      <c r="F124" s="4">
        <v>943</v>
      </c>
      <c r="G124" s="4">
        <v>49110</v>
      </c>
      <c r="H124" s="4">
        <f>Table2[[#This Row],[Likes]]+Table2[[#This Row],[Shares]]+Table2[[#This Row],[Comments]]/Table2[[#This Row],[Impressions]]</f>
        <v>18407.019201791896</v>
      </c>
    </row>
    <row r="125" spans="1:8" x14ac:dyDescent="0.35">
      <c r="A125" t="s">
        <v>181</v>
      </c>
      <c r="B125" t="s">
        <v>36</v>
      </c>
      <c r="C125" s="3">
        <v>45753</v>
      </c>
      <c r="D125" s="4">
        <v>8238</v>
      </c>
      <c r="E125" s="4">
        <v>766</v>
      </c>
      <c r="F125" s="4">
        <v>235</v>
      </c>
      <c r="G125" s="4">
        <v>119141</v>
      </c>
      <c r="H125" s="4">
        <f>Table2[[#This Row],[Likes]]+Table2[[#This Row],[Shares]]+Table2[[#This Row],[Comments]]/Table2[[#This Row],[Impressions]]</f>
        <v>9004.0019724528083</v>
      </c>
    </row>
    <row r="126" spans="1:8" x14ac:dyDescent="0.35">
      <c r="A126" t="s">
        <v>182</v>
      </c>
      <c r="B126" t="s">
        <v>45</v>
      </c>
      <c r="C126" s="3">
        <v>45543</v>
      </c>
      <c r="D126" s="4">
        <v>8090</v>
      </c>
      <c r="E126" s="4">
        <v>570</v>
      </c>
      <c r="F126" s="4">
        <v>399</v>
      </c>
      <c r="G126" s="4">
        <v>52115</v>
      </c>
      <c r="H126" s="4">
        <f>Table2[[#This Row],[Likes]]+Table2[[#This Row],[Shares]]+Table2[[#This Row],[Comments]]/Table2[[#This Row],[Impressions]]</f>
        <v>8660.0076561450642</v>
      </c>
    </row>
    <row r="127" spans="1:8" x14ac:dyDescent="0.35">
      <c r="A127" t="s">
        <v>183</v>
      </c>
      <c r="B127" t="s">
        <v>41</v>
      </c>
      <c r="C127" s="3">
        <v>45744</v>
      </c>
      <c r="D127" s="4">
        <v>13637</v>
      </c>
      <c r="E127" s="4">
        <v>1135</v>
      </c>
      <c r="F127" s="4">
        <v>540</v>
      </c>
      <c r="G127" s="4">
        <v>79062</v>
      </c>
      <c r="H127" s="4">
        <f>Table2[[#This Row],[Likes]]+Table2[[#This Row],[Shares]]+Table2[[#This Row],[Comments]]/Table2[[#This Row],[Impressions]]</f>
        <v>14772.006830082721</v>
      </c>
    </row>
    <row r="128" spans="1:8" x14ac:dyDescent="0.35">
      <c r="A128" t="s">
        <v>184</v>
      </c>
      <c r="B128" t="s">
        <v>62</v>
      </c>
      <c r="C128" s="3">
        <v>45684</v>
      </c>
      <c r="D128" s="4">
        <v>24415</v>
      </c>
      <c r="E128" s="4">
        <v>860</v>
      </c>
      <c r="F128" s="4">
        <v>931</v>
      </c>
      <c r="G128" s="4">
        <v>62911</v>
      </c>
      <c r="H128" s="4">
        <f>Table2[[#This Row],[Likes]]+Table2[[#This Row],[Shares]]+Table2[[#This Row],[Comments]]/Table2[[#This Row],[Impressions]]</f>
        <v>25275.014798683856</v>
      </c>
    </row>
    <row r="129" spans="1:8" x14ac:dyDescent="0.35">
      <c r="A129" t="s">
        <v>185</v>
      </c>
      <c r="B129" t="s">
        <v>45</v>
      </c>
      <c r="C129" s="3">
        <v>45667</v>
      </c>
      <c r="D129" s="4">
        <v>14647</v>
      </c>
      <c r="E129" s="4">
        <v>1168</v>
      </c>
      <c r="F129" s="4">
        <v>484</v>
      </c>
      <c r="G129" s="4">
        <v>144061</v>
      </c>
      <c r="H129" s="4">
        <f>Table2[[#This Row],[Likes]]+Table2[[#This Row],[Shares]]+Table2[[#This Row],[Comments]]/Table2[[#This Row],[Impressions]]</f>
        <v>15815.003359687909</v>
      </c>
    </row>
    <row r="130" spans="1:8" x14ac:dyDescent="0.35">
      <c r="A130" t="s">
        <v>186</v>
      </c>
      <c r="B130" t="s">
        <v>41</v>
      </c>
      <c r="C130" s="3">
        <v>45494</v>
      </c>
      <c r="D130" s="4">
        <v>11911</v>
      </c>
      <c r="E130" s="4">
        <v>1360</v>
      </c>
      <c r="F130" s="4">
        <v>778</v>
      </c>
      <c r="G130" s="4">
        <v>72556</v>
      </c>
      <c r="H130" s="4">
        <f>Table2[[#This Row],[Likes]]+Table2[[#This Row],[Shares]]+Table2[[#This Row],[Comments]]/Table2[[#This Row],[Impressions]]</f>
        <v>13271.01072275208</v>
      </c>
    </row>
    <row r="131" spans="1:8" x14ac:dyDescent="0.35">
      <c r="A131" t="s">
        <v>187</v>
      </c>
      <c r="B131" t="s">
        <v>41</v>
      </c>
      <c r="C131" s="3">
        <v>45564</v>
      </c>
      <c r="D131" s="4">
        <v>10472</v>
      </c>
      <c r="E131" s="4">
        <v>401</v>
      </c>
      <c r="F131" s="4">
        <v>668</v>
      </c>
      <c r="G131" s="4">
        <v>249203</v>
      </c>
      <c r="H131" s="4">
        <f>Table2[[#This Row],[Likes]]+Table2[[#This Row],[Shares]]+Table2[[#This Row],[Comments]]/Table2[[#This Row],[Impressions]]</f>
        <v>10873.00268054558</v>
      </c>
    </row>
    <row r="132" spans="1:8" x14ac:dyDescent="0.35">
      <c r="A132" t="s">
        <v>188</v>
      </c>
      <c r="B132" t="s">
        <v>41</v>
      </c>
      <c r="C132" s="3">
        <v>45586</v>
      </c>
      <c r="D132" s="4">
        <v>20271</v>
      </c>
      <c r="E132" s="4">
        <v>512</v>
      </c>
      <c r="F132" s="4">
        <v>286</v>
      </c>
      <c r="G132" s="4">
        <v>168335</v>
      </c>
      <c r="H132" s="4">
        <f>Table2[[#This Row],[Likes]]+Table2[[#This Row],[Shares]]+Table2[[#This Row],[Comments]]/Table2[[#This Row],[Impressions]]</f>
        <v>20783.001698993081</v>
      </c>
    </row>
    <row r="133" spans="1:8" x14ac:dyDescent="0.35">
      <c r="A133" t="s">
        <v>189</v>
      </c>
      <c r="B133" t="s">
        <v>45</v>
      </c>
      <c r="C133" s="3">
        <v>45720</v>
      </c>
      <c r="D133" s="4">
        <v>5266</v>
      </c>
      <c r="E133" s="4">
        <v>316</v>
      </c>
      <c r="F133" s="4">
        <v>837</v>
      </c>
      <c r="G133" s="4">
        <v>41969</v>
      </c>
      <c r="H133" s="4">
        <f>Table2[[#This Row],[Likes]]+Table2[[#This Row],[Shares]]+Table2[[#This Row],[Comments]]/Table2[[#This Row],[Impressions]]</f>
        <v>5582.0199432914769</v>
      </c>
    </row>
    <row r="134" spans="1:8" x14ac:dyDescent="0.35">
      <c r="A134" t="s">
        <v>190</v>
      </c>
      <c r="B134" t="s">
        <v>45</v>
      </c>
      <c r="C134" s="3">
        <v>45694</v>
      </c>
      <c r="D134" s="4">
        <v>2666</v>
      </c>
      <c r="E134" s="4">
        <v>1136</v>
      </c>
      <c r="F134" s="4">
        <v>989</v>
      </c>
      <c r="G134" s="4">
        <v>83753</v>
      </c>
      <c r="H134" s="4">
        <f>Table2[[#This Row],[Likes]]+Table2[[#This Row],[Shares]]+Table2[[#This Row],[Comments]]/Table2[[#This Row],[Impressions]]</f>
        <v>3802.0118085322315</v>
      </c>
    </row>
    <row r="135" spans="1:8" x14ac:dyDescent="0.35">
      <c r="A135" t="s">
        <v>191</v>
      </c>
      <c r="B135" t="s">
        <v>45</v>
      </c>
      <c r="C135" s="3">
        <v>45931</v>
      </c>
      <c r="D135" s="4">
        <v>6188</v>
      </c>
      <c r="E135" s="4">
        <v>774</v>
      </c>
      <c r="F135" s="4">
        <v>647</v>
      </c>
      <c r="G135" s="4">
        <v>175542</v>
      </c>
      <c r="H135" s="4">
        <f>Table2[[#This Row],[Likes]]+Table2[[#This Row],[Shares]]+Table2[[#This Row],[Comments]]/Table2[[#This Row],[Impressions]]</f>
        <v>6962.0036857276318</v>
      </c>
    </row>
    <row r="136" spans="1:8" x14ac:dyDescent="0.35">
      <c r="A136" t="s">
        <v>192</v>
      </c>
      <c r="B136" t="s">
        <v>36</v>
      </c>
      <c r="C136" s="3">
        <v>45624</v>
      </c>
      <c r="D136" s="4">
        <v>19055</v>
      </c>
      <c r="E136" s="4">
        <v>443</v>
      </c>
      <c r="F136" s="4">
        <v>976</v>
      </c>
      <c r="G136" s="4">
        <v>161863</v>
      </c>
      <c r="H136" s="4">
        <f>Table2[[#This Row],[Likes]]+Table2[[#This Row],[Shares]]+Table2[[#This Row],[Comments]]/Table2[[#This Row],[Impressions]]</f>
        <v>19498.006029790624</v>
      </c>
    </row>
    <row r="137" spans="1:8" x14ac:dyDescent="0.35">
      <c r="A137" t="s">
        <v>193</v>
      </c>
      <c r="B137" t="s">
        <v>45</v>
      </c>
      <c r="C137" s="3">
        <v>45932</v>
      </c>
      <c r="D137" s="4">
        <v>12161</v>
      </c>
      <c r="E137" s="4">
        <v>736</v>
      </c>
      <c r="F137" s="4">
        <v>876</v>
      </c>
      <c r="G137" s="4">
        <v>50225</v>
      </c>
      <c r="H137" s="4">
        <f>Table2[[#This Row],[Likes]]+Table2[[#This Row],[Shares]]+Table2[[#This Row],[Comments]]/Table2[[#This Row],[Impressions]]</f>
        <v>12897.017441513191</v>
      </c>
    </row>
    <row r="138" spans="1:8" x14ac:dyDescent="0.35">
      <c r="A138" t="s">
        <v>194</v>
      </c>
      <c r="B138" t="s">
        <v>45</v>
      </c>
      <c r="C138" s="3">
        <v>45504</v>
      </c>
      <c r="D138" s="4">
        <v>13314</v>
      </c>
      <c r="E138" s="4">
        <v>274</v>
      </c>
      <c r="F138" s="4">
        <v>626</v>
      </c>
      <c r="G138" s="4">
        <v>163008</v>
      </c>
      <c r="H138" s="4">
        <f>Table2[[#This Row],[Likes]]+Table2[[#This Row],[Shares]]+Table2[[#This Row],[Comments]]/Table2[[#This Row],[Impressions]]</f>
        <v>13588.003840302317</v>
      </c>
    </row>
    <row r="139" spans="1:8" x14ac:dyDescent="0.35">
      <c r="A139" t="s">
        <v>195</v>
      </c>
      <c r="B139" t="s">
        <v>45</v>
      </c>
      <c r="C139" s="3">
        <v>45745</v>
      </c>
      <c r="D139" s="4">
        <v>23508</v>
      </c>
      <c r="E139" s="4">
        <v>585</v>
      </c>
      <c r="F139" s="4">
        <v>743</v>
      </c>
      <c r="G139" s="4">
        <v>194268</v>
      </c>
      <c r="H139" s="4">
        <f>Table2[[#This Row],[Likes]]+Table2[[#This Row],[Shares]]+Table2[[#This Row],[Comments]]/Table2[[#This Row],[Impressions]]</f>
        <v>24093.003824613421</v>
      </c>
    </row>
    <row r="140" spans="1:8" x14ac:dyDescent="0.35">
      <c r="A140" t="s">
        <v>196</v>
      </c>
      <c r="B140" t="s">
        <v>36</v>
      </c>
      <c r="C140" s="3">
        <v>45594</v>
      </c>
      <c r="D140" s="4">
        <v>23969</v>
      </c>
      <c r="E140" s="4">
        <v>1433</v>
      </c>
      <c r="F140" s="4">
        <v>372</v>
      </c>
      <c r="G140" s="4">
        <v>145823</v>
      </c>
      <c r="H140" s="4">
        <f>Table2[[#This Row],[Likes]]+Table2[[#This Row],[Shares]]+Table2[[#This Row],[Comments]]/Table2[[#This Row],[Impressions]]</f>
        <v>25402.002551037902</v>
      </c>
    </row>
    <row r="141" spans="1:8" x14ac:dyDescent="0.35">
      <c r="A141" t="s">
        <v>197</v>
      </c>
      <c r="B141" t="s">
        <v>45</v>
      </c>
      <c r="C141" s="3">
        <v>45488</v>
      </c>
      <c r="D141" s="4">
        <v>14891</v>
      </c>
      <c r="E141" s="4">
        <v>674</v>
      </c>
      <c r="F141" s="4">
        <v>521</v>
      </c>
      <c r="G141" s="4">
        <v>53669</v>
      </c>
      <c r="H141" s="4">
        <f>Table2[[#This Row],[Likes]]+Table2[[#This Row],[Shares]]+Table2[[#This Row],[Comments]]/Table2[[#This Row],[Impressions]]</f>
        <v>15565.009707652462</v>
      </c>
    </row>
    <row r="142" spans="1:8" x14ac:dyDescent="0.35">
      <c r="A142" t="s">
        <v>198</v>
      </c>
      <c r="B142" t="s">
        <v>41</v>
      </c>
      <c r="C142" s="3">
        <v>45933</v>
      </c>
      <c r="D142" s="4">
        <v>6777</v>
      </c>
      <c r="E142" s="4">
        <v>617</v>
      </c>
      <c r="F142" s="4">
        <v>551</v>
      </c>
      <c r="G142" s="4">
        <v>208452</v>
      </c>
      <c r="H142" s="4">
        <f>Table2[[#This Row],[Likes]]+Table2[[#This Row],[Shares]]+Table2[[#This Row],[Comments]]/Table2[[#This Row],[Impressions]]</f>
        <v>7394.0026432943796</v>
      </c>
    </row>
    <row r="143" spans="1:8" x14ac:dyDescent="0.35">
      <c r="A143" t="s">
        <v>199</v>
      </c>
      <c r="B143" t="s">
        <v>45</v>
      </c>
      <c r="C143" s="3">
        <v>45741</v>
      </c>
      <c r="D143" s="4">
        <v>5900</v>
      </c>
      <c r="E143" s="4">
        <v>546</v>
      </c>
      <c r="F143" s="4">
        <v>592</v>
      </c>
      <c r="G143" s="4">
        <v>164398</v>
      </c>
      <c r="H143" s="4">
        <f>Table2[[#This Row],[Likes]]+Table2[[#This Row],[Shares]]+Table2[[#This Row],[Comments]]/Table2[[#This Row],[Impressions]]</f>
        <v>6446.0036010170443</v>
      </c>
    </row>
    <row r="144" spans="1:8" x14ac:dyDescent="0.35">
      <c r="A144" t="s">
        <v>200</v>
      </c>
      <c r="B144" t="s">
        <v>41</v>
      </c>
      <c r="C144" s="3">
        <v>45567</v>
      </c>
      <c r="D144" s="4">
        <v>15716</v>
      </c>
      <c r="E144" s="4">
        <v>839</v>
      </c>
      <c r="F144" s="4">
        <v>639</v>
      </c>
      <c r="G144" s="4">
        <v>150677</v>
      </c>
      <c r="H144" s="4">
        <f>Table2[[#This Row],[Likes]]+Table2[[#This Row],[Shares]]+Table2[[#This Row],[Comments]]/Table2[[#This Row],[Impressions]]</f>
        <v>16555.004240859587</v>
      </c>
    </row>
    <row r="145" spans="1:8" x14ac:dyDescent="0.35">
      <c r="A145" t="s">
        <v>201</v>
      </c>
      <c r="B145" t="s">
        <v>41</v>
      </c>
      <c r="C145" s="3">
        <v>45593</v>
      </c>
      <c r="D145" s="4">
        <v>8981</v>
      </c>
      <c r="E145" s="4">
        <v>1138</v>
      </c>
      <c r="F145" s="4">
        <v>764</v>
      </c>
      <c r="G145" s="4">
        <v>88320</v>
      </c>
      <c r="H145" s="4">
        <f>Table2[[#This Row],[Likes]]+Table2[[#This Row],[Shares]]+Table2[[#This Row],[Comments]]/Table2[[#This Row],[Impressions]]</f>
        <v>10119.008650362319</v>
      </c>
    </row>
    <row r="146" spans="1:8" x14ac:dyDescent="0.35">
      <c r="A146" t="s">
        <v>202</v>
      </c>
      <c r="B146" t="s">
        <v>41</v>
      </c>
      <c r="C146" s="3">
        <v>45516</v>
      </c>
      <c r="D146" s="4">
        <v>8376</v>
      </c>
      <c r="E146" s="4">
        <v>1154</v>
      </c>
      <c r="F146" s="4">
        <v>422</v>
      </c>
      <c r="G146" s="4">
        <v>218486</v>
      </c>
      <c r="H146" s="4">
        <f>Table2[[#This Row],[Likes]]+Table2[[#This Row],[Shares]]+Table2[[#This Row],[Comments]]/Table2[[#This Row],[Impressions]]</f>
        <v>9530.0019314738711</v>
      </c>
    </row>
    <row r="147" spans="1:8" x14ac:dyDescent="0.35">
      <c r="A147" t="s">
        <v>203</v>
      </c>
      <c r="B147" t="s">
        <v>36</v>
      </c>
      <c r="C147" s="3">
        <v>45448</v>
      </c>
      <c r="D147" s="4">
        <v>18907</v>
      </c>
      <c r="E147" s="4">
        <v>1075</v>
      </c>
      <c r="F147" s="4">
        <v>675</v>
      </c>
      <c r="G147" s="4">
        <v>186649</v>
      </c>
      <c r="H147" s="4">
        <f>Table2[[#This Row],[Likes]]+Table2[[#This Row],[Shares]]+Table2[[#This Row],[Comments]]/Table2[[#This Row],[Impressions]]</f>
        <v>19982.003616413695</v>
      </c>
    </row>
    <row r="148" spans="1:8" x14ac:dyDescent="0.35">
      <c r="A148" t="s">
        <v>204</v>
      </c>
      <c r="B148" t="s">
        <v>36</v>
      </c>
      <c r="C148" s="3">
        <v>45586</v>
      </c>
      <c r="D148" s="4">
        <v>20777</v>
      </c>
      <c r="E148" s="4">
        <v>962</v>
      </c>
      <c r="F148" s="4">
        <v>308</v>
      </c>
      <c r="G148" s="4">
        <v>165354</v>
      </c>
      <c r="H148" s="4">
        <f>Table2[[#This Row],[Likes]]+Table2[[#This Row],[Shares]]+Table2[[#This Row],[Comments]]/Table2[[#This Row],[Impressions]]</f>
        <v>21739.001862670393</v>
      </c>
    </row>
    <row r="149" spans="1:8" x14ac:dyDescent="0.35">
      <c r="A149" t="s">
        <v>205</v>
      </c>
      <c r="B149" t="s">
        <v>36</v>
      </c>
      <c r="C149" s="3">
        <v>45762</v>
      </c>
      <c r="D149" s="4">
        <v>20977</v>
      </c>
      <c r="E149" s="4">
        <v>1402</v>
      </c>
      <c r="F149" s="4">
        <v>301</v>
      </c>
      <c r="G149" s="4">
        <v>128009</v>
      </c>
      <c r="H149" s="4">
        <f>Table2[[#This Row],[Likes]]+Table2[[#This Row],[Shares]]+Table2[[#This Row],[Comments]]/Table2[[#This Row],[Impressions]]</f>
        <v>22379.002351397168</v>
      </c>
    </row>
    <row r="150" spans="1:8" x14ac:dyDescent="0.35">
      <c r="A150" t="s">
        <v>206</v>
      </c>
      <c r="B150" t="s">
        <v>45</v>
      </c>
      <c r="C150" s="3">
        <v>45459</v>
      </c>
      <c r="D150" s="4">
        <v>12160</v>
      </c>
      <c r="E150" s="4">
        <v>1405</v>
      </c>
      <c r="F150" s="4">
        <v>769</v>
      </c>
      <c r="G150" s="4">
        <v>226481</v>
      </c>
      <c r="H150" s="4">
        <f>Table2[[#This Row],[Likes]]+Table2[[#This Row],[Shares]]+Table2[[#This Row],[Comments]]/Table2[[#This Row],[Impressions]]</f>
        <v>13565.003395428314</v>
      </c>
    </row>
    <row r="151" spans="1:8" x14ac:dyDescent="0.35">
      <c r="A151" t="s">
        <v>207</v>
      </c>
      <c r="B151" t="s">
        <v>41</v>
      </c>
      <c r="C151" s="3">
        <v>45526</v>
      </c>
      <c r="D151" s="4">
        <v>16124</v>
      </c>
      <c r="E151" s="4">
        <v>863</v>
      </c>
      <c r="F151" s="4">
        <v>337</v>
      </c>
      <c r="G151" s="4">
        <v>68625</v>
      </c>
      <c r="H151" s="4">
        <f>Table2[[#This Row],[Likes]]+Table2[[#This Row],[Shares]]+Table2[[#This Row],[Comments]]/Table2[[#This Row],[Impressions]]</f>
        <v>16987.004910746811</v>
      </c>
    </row>
    <row r="152" spans="1:8" x14ac:dyDescent="0.35">
      <c r="A152" t="s">
        <v>208</v>
      </c>
      <c r="B152" t="s">
        <v>36</v>
      </c>
      <c r="C152" s="3">
        <v>45499</v>
      </c>
      <c r="D152" s="4">
        <v>18282</v>
      </c>
      <c r="E152" s="4">
        <v>224</v>
      </c>
      <c r="F152" s="4">
        <v>962</v>
      </c>
      <c r="G152" s="4">
        <v>64089</v>
      </c>
      <c r="H152" s="4">
        <f>Table2[[#This Row],[Likes]]+Table2[[#This Row],[Shares]]+Table2[[#This Row],[Comments]]/Table2[[#This Row],[Impressions]]</f>
        <v>18506.015010376195</v>
      </c>
    </row>
    <row r="153" spans="1:8" x14ac:dyDescent="0.35">
      <c r="A153" t="s">
        <v>209</v>
      </c>
      <c r="B153" t="s">
        <v>36</v>
      </c>
      <c r="C153" s="3">
        <v>45934</v>
      </c>
      <c r="D153" s="4">
        <v>12488</v>
      </c>
      <c r="E153" s="4">
        <v>1403</v>
      </c>
      <c r="F153" s="4">
        <v>247</v>
      </c>
      <c r="G153" s="4">
        <v>76487</v>
      </c>
      <c r="H153" s="4">
        <f>Table2[[#This Row],[Likes]]+Table2[[#This Row],[Shares]]+Table2[[#This Row],[Comments]]/Table2[[#This Row],[Impressions]]</f>
        <v>13891.003229306942</v>
      </c>
    </row>
    <row r="154" spans="1:8" x14ac:dyDescent="0.35">
      <c r="A154" t="s">
        <v>210</v>
      </c>
      <c r="B154" t="s">
        <v>45</v>
      </c>
      <c r="C154" s="3">
        <v>45658</v>
      </c>
      <c r="D154" s="4">
        <v>24574</v>
      </c>
      <c r="E154" s="4">
        <v>909</v>
      </c>
      <c r="F154" s="4">
        <v>280</v>
      </c>
      <c r="G154" s="4">
        <v>236910</v>
      </c>
      <c r="H154" s="4">
        <f>Table2[[#This Row],[Likes]]+Table2[[#This Row],[Shares]]+Table2[[#This Row],[Comments]]/Table2[[#This Row],[Impressions]]</f>
        <v>25483.001181883417</v>
      </c>
    </row>
    <row r="155" spans="1:8" x14ac:dyDescent="0.35">
      <c r="A155" t="s">
        <v>211</v>
      </c>
      <c r="B155" t="s">
        <v>36</v>
      </c>
      <c r="C155" s="3">
        <v>45574</v>
      </c>
      <c r="D155" s="4">
        <v>7240</v>
      </c>
      <c r="E155" s="4">
        <v>1384</v>
      </c>
      <c r="F155" s="4">
        <v>954</v>
      </c>
      <c r="G155" s="4">
        <v>150448</v>
      </c>
      <c r="H155" s="4">
        <f>Table2[[#This Row],[Likes]]+Table2[[#This Row],[Shares]]+Table2[[#This Row],[Comments]]/Table2[[#This Row],[Impressions]]</f>
        <v>8624.0063410613639</v>
      </c>
    </row>
    <row r="156" spans="1:8" x14ac:dyDescent="0.35">
      <c r="A156" t="s">
        <v>212</v>
      </c>
      <c r="B156" t="s">
        <v>45</v>
      </c>
      <c r="C156" s="3">
        <v>45647</v>
      </c>
      <c r="D156" s="4">
        <v>12453</v>
      </c>
      <c r="E156" s="4">
        <v>376</v>
      </c>
      <c r="F156" s="4">
        <v>320</v>
      </c>
      <c r="G156" s="4">
        <v>90138</v>
      </c>
      <c r="H156" s="4">
        <f>Table2[[#This Row],[Likes]]+Table2[[#This Row],[Shares]]+Table2[[#This Row],[Comments]]/Table2[[#This Row],[Impressions]]</f>
        <v>12829.003550112051</v>
      </c>
    </row>
    <row r="157" spans="1:8" x14ac:dyDescent="0.35">
      <c r="A157" t="s">
        <v>213</v>
      </c>
      <c r="B157" t="s">
        <v>62</v>
      </c>
      <c r="C157" s="3">
        <v>45587</v>
      </c>
      <c r="D157" s="4">
        <v>12478</v>
      </c>
      <c r="E157" s="4">
        <v>484</v>
      </c>
      <c r="F157" s="4">
        <v>332</v>
      </c>
      <c r="G157" s="4">
        <v>213895</v>
      </c>
      <c r="H157" s="4">
        <f>Table2[[#This Row],[Likes]]+Table2[[#This Row],[Shares]]+Table2[[#This Row],[Comments]]/Table2[[#This Row],[Impressions]]</f>
        <v>12962.001552163445</v>
      </c>
    </row>
    <row r="158" spans="1:8" x14ac:dyDescent="0.35">
      <c r="A158" t="s">
        <v>214</v>
      </c>
      <c r="B158" t="s">
        <v>36</v>
      </c>
      <c r="C158" s="3">
        <v>45496</v>
      </c>
      <c r="D158" s="4">
        <v>24877</v>
      </c>
      <c r="E158" s="4">
        <v>262</v>
      </c>
      <c r="F158" s="4">
        <v>513</v>
      </c>
      <c r="G158" s="4">
        <v>208280</v>
      </c>
      <c r="H158" s="4">
        <f>Table2[[#This Row],[Likes]]+Table2[[#This Row],[Shares]]+Table2[[#This Row],[Comments]]/Table2[[#This Row],[Impressions]]</f>
        <v>25139.002463030534</v>
      </c>
    </row>
    <row r="159" spans="1:8" x14ac:dyDescent="0.35">
      <c r="A159" t="s">
        <v>215</v>
      </c>
      <c r="B159" t="s">
        <v>62</v>
      </c>
      <c r="C159" s="3">
        <v>45515</v>
      </c>
      <c r="D159" s="4">
        <v>14394</v>
      </c>
      <c r="E159" s="4">
        <v>1202</v>
      </c>
      <c r="F159" s="4">
        <v>188</v>
      </c>
      <c r="G159" s="4">
        <v>94061</v>
      </c>
      <c r="H159" s="4">
        <f>Table2[[#This Row],[Likes]]+Table2[[#This Row],[Shares]]+Table2[[#This Row],[Comments]]/Table2[[#This Row],[Impressions]]</f>
        <v>15596.00199870297</v>
      </c>
    </row>
    <row r="160" spans="1:8" x14ac:dyDescent="0.35">
      <c r="A160" t="s">
        <v>216</v>
      </c>
      <c r="B160" t="s">
        <v>45</v>
      </c>
      <c r="C160" s="3">
        <v>45935</v>
      </c>
      <c r="D160" s="4">
        <v>21262</v>
      </c>
      <c r="E160" s="4">
        <v>861</v>
      </c>
      <c r="F160" s="4">
        <v>676</v>
      </c>
      <c r="G160" s="4">
        <v>201731</v>
      </c>
      <c r="H160" s="4">
        <f>Table2[[#This Row],[Likes]]+Table2[[#This Row],[Shares]]+Table2[[#This Row],[Comments]]/Table2[[#This Row],[Impressions]]</f>
        <v>22123.003350997122</v>
      </c>
    </row>
    <row r="161" spans="1:8" x14ac:dyDescent="0.35">
      <c r="A161" t="s">
        <v>217</v>
      </c>
      <c r="B161" t="s">
        <v>41</v>
      </c>
      <c r="C161" s="3">
        <v>45528</v>
      </c>
      <c r="D161" s="4">
        <v>22527</v>
      </c>
      <c r="E161" s="4">
        <v>865</v>
      </c>
      <c r="F161" s="4">
        <v>646</v>
      </c>
      <c r="G161" s="4">
        <v>141376</v>
      </c>
      <c r="H161" s="4">
        <f>Table2[[#This Row],[Likes]]+Table2[[#This Row],[Shares]]+Table2[[#This Row],[Comments]]/Table2[[#This Row],[Impressions]]</f>
        <v>23392.004569375284</v>
      </c>
    </row>
    <row r="162" spans="1:8" x14ac:dyDescent="0.35">
      <c r="A162" t="s">
        <v>218</v>
      </c>
      <c r="B162" t="s">
        <v>36</v>
      </c>
      <c r="C162" s="3">
        <v>45936</v>
      </c>
      <c r="D162" s="4">
        <v>22028</v>
      </c>
      <c r="E162" s="4">
        <v>355</v>
      </c>
      <c r="F162" s="4">
        <v>665</v>
      </c>
      <c r="G162" s="4">
        <v>202962</v>
      </c>
      <c r="H162" s="4">
        <f>Table2[[#This Row],[Likes]]+Table2[[#This Row],[Shares]]+Table2[[#This Row],[Comments]]/Table2[[#This Row],[Impressions]]</f>
        <v>22383.0032764754</v>
      </c>
    </row>
    <row r="163" spans="1:8" x14ac:dyDescent="0.35">
      <c r="A163" t="s">
        <v>219</v>
      </c>
      <c r="B163" t="s">
        <v>45</v>
      </c>
      <c r="C163" s="3">
        <v>45748</v>
      </c>
      <c r="D163" s="4">
        <v>6432</v>
      </c>
      <c r="E163" s="4">
        <v>1272</v>
      </c>
      <c r="F163" s="4">
        <v>498</v>
      </c>
      <c r="G163" s="4">
        <v>119134</v>
      </c>
      <c r="H163" s="4">
        <f>Table2[[#This Row],[Likes]]+Table2[[#This Row],[Shares]]+Table2[[#This Row],[Comments]]/Table2[[#This Row],[Impressions]]</f>
        <v>7704.0041801668713</v>
      </c>
    </row>
    <row r="164" spans="1:8" x14ac:dyDescent="0.35">
      <c r="A164" t="s">
        <v>220</v>
      </c>
      <c r="B164" t="s">
        <v>41</v>
      </c>
      <c r="C164" s="3">
        <v>45755</v>
      </c>
      <c r="D164" s="4">
        <v>15568</v>
      </c>
      <c r="E164" s="4">
        <v>1166</v>
      </c>
      <c r="F164" s="4">
        <v>546</v>
      </c>
      <c r="G164" s="4">
        <v>87055</v>
      </c>
      <c r="H164" s="4">
        <f>Table2[[#This Row],[Likes]]+Table2[[#This Row],[Shares]]+Table2[[#This Row],[Comments]]/Table2[[#This Row],[Impressions]]</f>
        <v>16734.006271897077</v>
      </c>
    </row>
    <row r="165" spans="1:8" x14ac:dyDescent="0.35">
      <c r="A165" t="s">
        <v>221</v>
      </c>
      <c r="B165" t="s">
        <v>41</v>
      </c>
      <c r="C165" s="3">
        <v>45715</v>
      </c>
      <c r="D165" s="4">
        <v>16178</v>
      </c>
      <c r="E165" s="4">
        <v>1048</v>
      </c>
      <c r="F165" s="4">
        <v>871</v>
      </c>
      <c r="G165" s="4">
        <v>59508</v>
      </c>
      <c r="H165" s="4">
        <f>Table2[[#This Row],[Likes]]+Table2[[#This Row],[Shares]]+Table2[[#This Row],[Comments]]/Table2[[#This Row],[Impressions]]</f>
        <v>17226.014636687505</v>
      </c>
    </row>
    <row r="166" spans="1:8" x14ac:dyDescent="0.35">
      <c r="A166" t="s">
        <v>222</v>
      </c>
      <c r="B166" t="s">
        <v>62</v>
      </c>
      <c r="C166" s="3">
        <v>45937</v>
      </c>
      <c r="D166" s="4">
        <v>19660</v>
      </c>
      <c r="E166" s="4">
        <v>1307</v>
      </c>
      <c r="F166" s="4">
        <v>310</v>
      </c>
      <c r="G166" s="4">
        <v>213359</v>
      </c>
      <c r="H166" s="4">
        <f>Table2[[#This Row],[Likes]]+Table2[[#This Row],[Shares]]+Table2[[#This Row],[Comments]]/Table2[[#This Row],[Impressions]]</f>
        <v>20967.001452950193</v>
      </c>
    </row>
    <row r="167" spans="1:8" x14ac:dyDescent="0.35">
      <c r="A167" t="s">
        <v>223</v>
      </c>
      <c r="B167" t="s">
        <v>45</v>
      </c>
      <c r="C167" s="3">
        <v>45704</v>
      </c>
      <c r="D167" s="4">
        <v>24195</v>
      </c>
      <c r="E167" s="4">
        <v>888</v>
      </c>
      <c r="F167" s="4">
        <v>165</v>
      </c>
      <c r="G167" s="4">
        <v>249988</v>
      </c>
      <c r="H167" s="4">
        <f>Table2[[#This Row],[Likes]]+Table2[[#This Row],[Shares]]+Table2[[#This Row],[Comments]]/Table2[[#This Row],[Impressions]]</f>
        <v>25083.000660031681</v>
      </c>
    </row>
    <row r="168" spans="1:8" x14ac:dyDescent="0.35">
      <c r="A168" t="s">
        <v>224</v>
      </c>
      <c r="B168" t="s">
        <v>41</v>
      </c>
      <c r="C168" s="3">
        <v>45624</v>
      </c>
      <c r="D168" s="4">
        <v>2302</v>
      </c>
      <c r="E168" s="4">
        <v>347</v>
      </c>
      <c r="F168" s="4">
        <v>642</v>
      </c>
      <c r="G168" s="4">
        <v>198056</v>
      </c>
      <c r="H168" s="4">
        <f>Table2[[#This Row],[Likes]]+Table2[[#This Row],[Shares]]+Table2[[#This Row],[Comments]]/Table2[[#This Row],[Impressions]]</f>
        <v>2649.0032415074525</v>
      </c>
    </row>
    <row r="169" spans="1:8" x14ac:dyDescent="0.35">
      <c r="A169" t="s">
        <v>225</v>
      </c>
      <c r="B169" t="s">
        <v>36</v>
      </c>
      <c r="C169" s="3">
        <v>45608</v>
      </c>
      <c r="D169" s="4">
        <v>19022</v>
      </c>
      <c r="E169" s="4">
        <v>541</v>
      </c>
      <c r="F169" s="4">
        <v>575</v>
      </c>
      <c r="G169" s="4">
        <v>150169</v>
      </c>
      <c r="H169" s="4">
        <f>Table2[[#This Row],[Likes]]+Table2[[#This Row],[Shares]]+Table2[[#This Row],[Comments]]/Table2[[#This Row],[Impressions]]</f>
        <v>19563.003829019304</v>
      </c>
    </row>
    <row r="170" spans="1:8" x14ac:dyDescent="0.35">
      <c r="A170" t="s">
        <v>226</v>
      </c>
      <c r="B170" t="s">
        <v>36</v>
      </c>
      <c r="C170" s="3">
        <v>45629</v>
      </c>
      <c r="D170" s="4">
        <v>2055</v>
      </c>
      <c r="E170" s="4">
        <v>675</v>
      </c>
      <c r="F170" s="4">
        <v>257</v>
      </c>
      <c r="G170" s="4">
        <v>48125</v>
      </c>
      <c r="H170" s="4">
        <f>Table2[[#This Row],[Likes]]+Table2[[#This Row],[Shares]]+Table2[[#This Row],[Comments]]/Table2[[#This Row],[Impressions]]</f>
        <v>2730.0053402597405</v>
      </c>
    </row>
    <row r="171" spans="1:8" x14ac:dyDescent="0.35">
      <c r="A171" t="s">
        <v>227</v>
      </c>
      <c r="B171" t="s">
        <v>62</v>
      </c>
      <c r="C171" s="3">
        <v>45775</v>
      </c>
      <c r="D171" s="4">
        <v>15013</v>
      </c>
      <c r="E171" s="4">
        <v>1286</v>
      </c>
      <c r="F171" s="4">
        <v>599</v>
      </c>
      <c r="G171" s="4">
        <v>76059</v>
      </c>
      <c r="H171" s="4">
        <f>Table2[[#This Row],[Likes]]+Table2[[#This Row],[Shares]]+Table2[[#This Row],[Comments]]/Table2[[#This Row],[Impressions]]</f>
        <v>16299.0078754651</v>
      </c>
    </row>
    <row r="172" spans="1:8" x14ac:dyDescent="0.35">
      <c r="A172" t="s">
        <v>228</v>
      </c>
      <c r="B172" t="s">
        <v>41</v>
      </c>
      <c r="C172" s="3">
        <v>45657</v>
      </c>
      <c r="D172" s="4">
        <v>10717</v>
      </c>
      <c r="E172" s="4">
        <v>760</v>
      </c>
      <c r="F172" s="4">
        <v>460</v>
      </c>
      <c r="G172" s="4">
        <v>240641</v>
      </c>
      <c r="H172" s="4">
        <f>Table2[[#This Row],[Likes]]+Table2[[#This Row],[Shares]]+Table2[[#This Row],[Comments]]/Table2[[#This Row],[Impressions]]</f>
        <v>11477.001911561205</v>
      </c>
    </row>
    <row r="173" spans="1:8" x14ac:dyDescent="0.35">
      <c r="A173" t="s">
        <v>229</v>
      </c>
      <c r="B173" t="s">
        <v>45</v>
      </c>
      <c r="C173" s="3">
        <v>45518</v>
      </c>
      <c r="D173" s="4">
        <v>10150</v>
      </c>
      <c r="E173" s="4">
        <v>526</v>
      </c>
      <c r="F173" s="4">
        <v>888</v>
      </c>
      <c r="G173" s="4">
        <v>143409</v>
      </c>
      <c r="H173" s="4">
        <f>Table2[[#This Row],[Likes]]+Table2[[#This Row],[Shares]]+Table2[[#This Row],[Comments]]/Table2[[#This Row],[Impressions]]</f>
        <v>10676.006192079994</v>
      </c>
    </row>
    <row r="174" spans="1:8" x14ac:dyDescent="0.35">
      <c r="A174" t="s">
        <v>230</v>
      </c>
      <c r="B174" t="s">
        <v>36</v>
      </c>
      <c r="C174" s="3">
        <v>45631</v>
      </c>
      <c r="D174" s="4">
        <v>4125</v>
      </c>
      <c r="E174" s="4">
        <v>1364</v>
      </c>
      <c r="F174" s="4">
        <v>319</v>
      </c>
      <c r="G174" s="4">
        <v>188159</v>
      </c>
      <c r="H174" s="4">
        <f>Table2[[#This Row],[Likes]]+Table2[[#This Row],[Shares]]+Table2[[#This Row],[Comments]]/Table2[[#This Row],[Impressions]]</f>
        <v>5489.0016953746563</v>
      </c>
    </row>
    <row r="175" spans="1:8" x14ac:dyDescent="0.35">
      <c r="A175" t="s">
        <v>231</v>
      </c>
      <c r="B175" t="s">
        <v>41</v>
      </c>
      <c r="C175" s="3">
        <v>45465</v>
      </c>
      <c r="D175" s="4">
        <v>13479</v>
      </c>
      <c r="E175" s="4">
        <v>1189</v>
      </c>
      <c r="F175" s="4">
        <v>695</v>
      </c>
      <c r="G175" s="4">
        <v>45704</v>
      </c>
      <c r="H175" s="4">
        <f>Table2[[#This Row],[Likes]]+Table2[[#This Row],[Shares]]+Table2[[#This Row],[Comments]]/Table2[[#This Row],[Impressions]]</f>
        <v>14668.015206546474</v>
      </c>
    </row>
    <row r="176" spans="1:8" x14ac:dyDescent="0.35">
      <c r="A176" t="s">
        <v>232</v>
      </c>
      <c r="B176" t="s">
        <v>41</v>
      </c>
      <c r="C176" s="3">
        <v>45938</v>
      </c>
      <c r="D176" s="4">
        <v>17745</v>
      </c>
      <c r="E176" s="4">
        <v>414</v>
      </c>
      <c r="F176" s="4">
        <v>563</v>
      </c>
      <c r="G176" s="4">
        <v>231648</v>
      </c>
      <c r="H176" s="4">
        <f>Table2[[#This Row],[Likes]]+Table2[[#This Row],[Shares]]+Table2[[#This Row],[Comments]]/Table2[[#This Row],[Impressions]]</f>
        <v>18159.00243041166</v>
      </c>
    </row>
    <row r="177" spans="1:8" x14ac:dyDescent="0.35">
      <c r="A177" t="s">
        <v>233</v>
      </c>
      <c r="B177" t="s">
        <v>62</v>
      </c>
      <c r="C177" s="3">
        <v>45939</v>
      </c>
      <c r="D177" s="4">
        <v>18748</v>
      </c>
      <c r="E177" s="4">
        <v>634</v>
      </c>
      <c r="F177" s="4">
        <v>400</v>
      </c>
      <c r="G177" s="4">
        <v>244456</v>
      </c>
      <c r="H177" s="4">
        <f>Table2[[#This Row],[Likes]]+Table2[[#This Row],[Shares]]+Table2[[#This Row],[Comments]]/Table2[[#This Row],[Impressions]]</f>
        <v>19382.001636286284</v>
      </c>
    </row>
    <row r="178" spans="1:8" x14ac:dyDescent="0.35">
      <c r="A178" t="s">
        <v>234</v>
      </c>
      <c r="B178" t="s">
        <v>36</v>
      </c>
      <c r="C178" s="3">
        <v>45483</v>
      </c>
      <c r="D178" s="4">
        <v>8809</v>
      </c>
      <c r="E178" s="4">
        <v>1151</v>
      </c>
      <c r="F178" s="4">
        <v>908</v>
      </c>
      <c r="G178" s="4">
        <v>151279</v>
      </c>
      <c r="H178" s="4">
        <f>Table2[[#This Row],[Likes]]+Table2[[#This Row],[Shares]]+Table2[[#This Row],[Comments]]/Table2[[#This Row],[Impressions]]</f>
        <v>9960.006002154958</v>
      </c>
    </row>
    <row r="179" spans="1:8" x14ac:dyDescent="0.35">
      <c r="A179" t="s">
        <v>235</v>
      </c>
      <c r="B179" t="s">
        <v>36</v>
      </c>
      <c r="C179" s="3">
        <v>45940</v>
      </c>
      <c r="D179" s="4">
        <v>6621</v>
      </c>
      <c r="E179" s="4">
        <v>922</v>
      </c>
      <c r="F179" s="4">
        <v>930</v>
      </c>
      <c r="G179" s="4">
        <v>243532</v>
      </c>
      <c r="H179" s="4">
        <f>Table2[[#This Row],[Likes]]+Table2[[#This Row],[Shares]]+Table2[[#This Row],[Comments]]/Table2[[#This Row],[Impressions]]</f>
        <v>7543.0038187999935</v>
      </c>
    </row>
    <row r="180" spans="1:8" x14ac:dyDescent="0.35">
      <c r="A180" t="s">
        <v>236</v>
      </c>
      <c r="B180" t="s">
        <v>45</v>
      </c>
      <c r="C180" s="3">
        <v>45488</v>
      </c>
      <c r="D180" s="4">
        <v>17034</v>
      </c>
      <c r="E180" s="4">
        <v>231</v>
      </c>
      <c r="F180" s="4">
        <v>290</v>
      </c>
      <c r="G180" s="4">
        <v>198280</v>
      </c>
      <c r="H180" s="4">
        <f>Table2[[#This Row],[Likes]]+Table2[[#This Row],[Shares]]+Table2[[#This Row],[Comments]]/Table2[[#This Row],[Impressions]]</f>
        <v>17265.001462578173</v>
      </c>
    </row>
    <row r="181" spans="1:8" x14ac:dyDescent="0.35">
      <c r="A181" t="s">
        <v>237</v>
      </c>
      <c r="B181" t="s">
        <v>36</v>
      </c>
      <c r="C181" s="3">
        <v>45941</v>
      </c>
      <c r="D181" s="4">
        <v>15623</v>
      </c>
      <c r="E181" s="4">
        <v>869</v>
      </c>
      <c r="F181" s="4">
        <v>423</v>
      </c>
      <c r="G181" s="4">
        <v>158516</v>
      </c>
      <c r="H181" s="4">
        <f>Table2[[#This Row],[Likes]]+Table2[[#This Row],[Shares]]+Table2[[#This Row],[Comments]]/Table2[[#This Row],[Impressions]]</f>
        <v>16492.002668500339</v>
      </c>
    </row>
    <row r="182" spans="1:8" x14ac:dyDescent="0.35">
      <c r="A182" t="s">
        <v>238</v>
      </c>
      <c r="B182" t="s">
        <v>45</v>
      </c>
      <c r="C182" s="3">
        <v>45942</v>
      </c>
      <c r="D182" s="4">
        <v>7126</v>
      </c>
      <c r="E182" s="4">
        <v>484</v>
      </c>
      <c r="F182" s="4">
        <v>565</v>
      </c>
      <c r="G182" s="4">
        <v>237096</v>
      </c>
      <c r="H182" s="4">
        <f>Table2[[#This Row],[Likes]]+Table2[[#This Row],[Shares]]+Table2[[#This Row],[Comments]]/Table2[[#This Row],[Impressions]]</f>
        <v>7610.0023830009786</v>
      </c>
    </row>
    <row r="183" spans="1:8" x14ac:dyDescent="0.35">
      <c r="A183" t="s">
        <v>239</v>
      </c>
      <c r="B183" t="s">
        <v>36</v>
      </c>
      <c r="C183" s="3">
        <v>45504</v>
      </c>
      <c r="D183" s="4">
        <v>7122</v>
      </c>
      <c r="E183" s="4">
        <v>628</v>
      </c>
      <c r="F183" s="4">
        <v>757</v>
      </c>
      <c r="G183" s="4">
        <v>210954</v>
      </c>
      <c r="H183" s="4">
        <f>Table2[[#This Row],[Likes]]+Table2[[#This Row],[Shares]]+Table2[[#This Row],[Comments]]/Table2[[#This Row],[Impressions]]</f>
        <v>7750.0035884600438</v>
      </c>
    </row>
    <row r="184" spans="1:8" x14ac:dyDescent="0.35">
      <c r="A184" t="s">
        <v>240</v>
      </c>
      <c r="B184" t="s">
        <v>62</v>
      </c>
      <c r="C184" s="3">
        <v>45643</v>
      </c>
      <c r="D184" s="4">
        <v>20030</v>
      </c>
      <c r="E184" s="4">
        <v>485</v>
      </c>
      <c r="F184" s="4">
        <v>888</v>
      </c>
      <c r="G184" s="4">
        <v>196995</v>
      </c>
      <c r="H184" s="4">
        <f>Table2[[#This Row],[Likes]]+Table2[[#This Row],[Shares]]+Table2[[#This Row],[Comments]]/Table2[[#This Row],[Impressions]]</f>
        <v>20515.004507728623</v>
      </c>
    </row>
    <row r="185" spans="1:8" x14ac:dyDescent="0.35">
      <c r="A185" t="s">
        <v>241</v>
      </c>
      <c r="B185" t="s">
        <v>36</v>
      </c>
      <c r="C185" s="3">
        <v>45943</v>
      </c>
      <c r="D185" s="4">
        <v>19302</v>
      </c>
      <c r="E185" s="4">
        <v>1367</v>
      </c>
      <c r="F185" s="4">
        <v>188</v>
      </c>
      <c r="G185" s="4">
        <v>154044</v>
      </c>
      <c r="H185" s="4">
        <f>Table2[[#This Row],[Likes]]+Table2[[#This Row],[Shares]]+Table2[[#This Row],[Comments]]/Table2[[#This Row],[Impressions]]</f>
        <v>20669.001220430528</v>
      </c>
    </row>
    <row r="186" spans="1:8" x14ac:dyDescent="0.35">
      <c r="A186" t="s">
        <v>242</v>
      </c>
      <c r="B186" t="s">
        <v>45</v>
      </c>
      <c r="C186" s="3">
        <v>45668</v>
      </c>
      <c r="D186" s="4">
        <v>21181</v>
      </c>
      <c r="E186" s="4">
        <v>1242</v>
      </c>
      <c r="F186" s="4">
        <v>963</v>
      </c>
      <c r="G186" s="4">
        <v>69165</v>
      </c>
      <c r="H186" s="4">
        <f>Table2[[#This Row],[Likes]]+Table2[[#This Row],[Shares]]+Table2[[#This Row],[Comments]]/Table2[[#This Row],[Impressions]]</f>
        <v>22423.013923227067</v>
      </c>
    </row>
    <row r="187" spans="1:8" x14ac:dyDescent="0.35">
      <c r="A187" t="s">
        <v>243</v>
      </c>
      <c r="B187" t="s">
        <v>45</v>
      </c>
      <c r="C187" s="3">
        <v>45528</v>
      </c>
      <c r="D187" s="4">
        <v>24890</v>
      </c>
      <c r="E187" s="4">
        <v>217</v>
      </c>
      <c r="F187" s="4">
        <v>178</v>
      </c>
      <c r="G187" s="4">
        <v>107203</v>
      </c>
      <c r="H187" s="4">
        <f>Table2[[#This Row],[Likes]]+Table2[[#This Row],[Shares]]+Table2[[#This Row],[Comments]]/Table2[[#This Row],[Impressions]]</f>
        <v>25107.001660401296</v>
      </c>
    </row>
    <row r="188" spans="1:8" x14ac:dyDescent="0.35">
      <c r="A188" t="s">
        <v>244</v>
      </c>
      <c r="B188" t="s">
        <v>62</v>
      </c>
      <c r="C188" s="3">
        <v>45648</v>
      </c>
      <c r="D188" s="4">
        <v>7870</v>
      </c>
      <c r="E188" s="4">
        <v>968</v>
      </c>
      <c r="F188" s="4">
        <v>626</v>
      </c>
      <c r="G188" s="4">
        <v>44114</v>
      </c>
      <c r="H188" s="4">
        <f>Table2[[#This Row],[Likes]]+Table2[[#This Row],[Shares]]+Table2[[#This Row],[Comments]]/Table2[[#This Row],[Impressions]]</f>
        <v>8838.0141905064156</v>
      </c>
    </row>
    <row r="189" spans="1:8" x14ac:dyDescent="0.35">
      <c r="A189" t="s">
        <v>245</v>
      </c>
      <c r="B189" t="s">
        <v>36</v>
      </c>
      <c r="C189" s="3">
        <v>45449</v>
      </c>
      <c r="D189" s="4">
        <v>3531</v>
      </c>
      <c r="E189" s="4">
        <v>789</v>
      </c>
      <c r="F189" s="4">
        <v>467</v>
      </c>
      <c r="G189" s="4">
        <v>236037</v>
      </c>
      <c r="H189" s="4">
        <f>Table2[[#This Row],[Likes]]+Table2[[#This Row],[Shares]]+Table2[[#This Row],[Comments]]/Table2[[#This Row],[Impressions]]</f>
        <v>4320.0019785033701</v>
      </c>
    </row>
    <row r="190" spans="1:8" x14ac:dyDescent="0.35">
      <c r="A190" t="s">
        <v>246</v>
      </c>
      <c r="B190" t="s">
        <v>36</v>
      </c>
      <c r="C190" s="3">
        <v>45740</v>
      </c>
      <c r="D190" s="4">
        <v>10172</v>
      </c>
      <c r="E190" s="4">
        <v>1398</v>
      </c>
      <c r="F190" s="4">
        <v>394</v>
      </c>
      <c r="G190" s="4">
        <v>76321</v>
      </c>
      <c r="H190" s="4">
        <f>Table2[[#This Row],[Likes]]+Table2[[#This Row],[Shares]]+Table2[[#This Row],[Comments]]/Table2[[#This Row],[Impressions]]</f>
        <v>11570.005162406153</v>
      </c>
    </row>
    <row r="191" spans="1:8" x14ac:dyDescent="0.35">
      <c r="A191" t="s">
        <v>247</v>
      </c>
      <c r="B191" t="s">
        <v>62</v>
      </c>
      <c r="C191" s="3">
        <v>45569</v>
      </c>
      <c r="D191" s="4">
        <v>21729</v>
      </c>
      <c r="E191" s="4">
        <v>1209</v>
      </c>
      <c r="F191" s="4">
        <v>897</v>
      </c>
      <c r="G191" s="4">
        <v>113297</v>
      </c>
      <c r="H191" s="4">
        <f>Table2[[#This Row],[Likes]]+Table2[[#This Row],[Shares]]+Table2[[#This Row],[Comments]]/Table2[[#This Row],[Impressions]]</f>
        <v>22938.007917244056</v>
      </c>
    </row>
    <row r="192" spans="1:8" x14ac:dyDescent="0.35">
      <c r="A192" t="s">
        <v>248</v>
      </c>
      <c r="B192" t="s">
        <v>36</v>
      </c>
      <c r="C192" s="3">
        <v>45944</v>
      </c>
      <c r="D192" s="4">
        <v>9673</v>
      </c>
      <c r="E192" s="4">
        <v>393</v>
      </c>
      <c r="F192" s="4">
        <v>846</v>
      </c>
      <c r="G192" s="4">
        <v>136652</v>
      </c>
      <c r="H192" s="4">
        <f>Table2[[#This Row],[Likes]]+Table2[[#This Row],[Shares]]+Table2[[#This Row],[Comments]]/Table2[[#This Row],[Impressions]]</f>
        <v>10066.006190908292</v>
      </c>
    </row>
    <row r="193" spans="1:8" x14ac:dyDescent="0.35">
      <c r="A193" t="s">
        <v>249</v>
      </c>
      <c r="B193" t="s">
        <v>36</v>
      </c>
      <c r="C193" s="3">
        <v>45945</v>
      </c>
      <c r="D193" s="4">
        <v>8882</v>
      </c>
      <c r="E193" s="4">
        <v>701</v>
      </c>
      <c r="F193" s="4">
        <v>421</v>
      </c>
      <c r="G193" s="4">
        <v>139304</v>
      </c>
      <c r="H193" s="4">
        <f>Table2[[#This Row],[Likes]]+Table2[[#This Row],[Shares]]+Table2[[#This Row],[Comments]]/Table2[[#This Row],[Impressions]]</f>
        <v>9583.003022167346</v>
      </c>
    </row>
    <row r="194" spans="1:8" x14ac:dyDescent="0.35">
      <c r="A194" t="s">
        <v>250</v>
      </c>
      <c r="B194" t="s">
        <v>45</v>
      </c>
      <c r="C194" s="3">
        <v>45546</v>
      </c>
      <c r="D194" s="4">
        <v>3906</v>
      </c>
      <c r="E194" s="4">
        <v>1187</v>
      </c>
      <c r="F194" s="4">
        <v>589</v>
      </c>
      <c r="G194" s="4">
        <v>196498</v>
      </c>
      <c r="H194" s="4">
        <f>Table2[[#This Row],[Likes]]+Table2[[#This Row],[Shares]]+Table2[[#This Row],[Comments]]/Table2[[#This Row],[Impressions]]</f>
        <v>5093.0029974859799</v>
      </c>
    </row>
    <row r="195" spans="1:8" x14ac:dyDescent="0.35">
      <c r="A195" t="s">
        <v>251</v>
      </c>
      <c r="B195" t="s">
        <v>36</v>
      </c>
      <c r="C195" s="3">
        <v>45567</v>
      </c>
      <c r="D195" s="4">
        <v>5086</v>
      </c>
      <c r="E195" s="4">
        <v>1336</v>
      </c>
      <c r="F195" s="4">
        <v>897</v>
      </c>
      <c r="G195" s="4">
        <v>57772</v>
      </c>
      <c r="H195" s="4">
        <f>Table2[[#This Row],[Likes]]+Table2[[#This Row],[Shares]]+Table2[[#This Row],[Comments]]/Table2[[#This Row],[Impressions]]</f>
        <v>6422.0155265526555</v>
      </c>
    </row>
    <row r="196" spans="1:8" x14ac:dyDescent="0.35">
      <c r="A196" t="s">
        <v>252</v>
      </c>
      <c r="B196" t="s">
        <v>36</v>
      </c>
      <c r="C196" s="3">
        <v>45519</v>
      </c>
      <c r="D196" s="4">
        <v>15503</v>
      </c>
      <c r="E196" s="4">
        <v>313</v>
      </c>
      <c r="F196" s="4">
        <v>388</v>
      </c>
      <c r="G196" s="4">
        <v>143754</v>
      </c>
      <c r="H196" s="4">
        <f>Table2[[#This Row],[Likes]]+Table2[[#This Row],[Shares]]+Table2[[#This Row],[Comments]]/Table2[[#This Row],[Impressions]]</f>
        <v>15816.002699055331</v>
      </c>
    </row>
    <row r="197" spans="1:8" x14ac:dyDescent="0.35">
      <c r="A197" t="s">
        <v>253</v>
      </c>
      <c r="B197" t="s">
        <v>62</v>
      </c>
      <c r="C197" s="3">
        <v>45918</v>
      </c>
      <c r="D197" s="4">
        <v>10152</v>
      </c>
      <c r="E197" s="4">
        <v>1445</v>
      </c>
      <c r="F197" s="4">
        <v>526</v>
      </c>
      <c r="G197" s="4">
        <v>43712</v>
      </c>
      <c r="H197" s="4">
        <f>Table2[[#This Row],[Likes]]+Table2[[#This Row],[Shares]]+Table2[[#This Row],[Comments]]/Table2[[#This Row],[Impressions]]</f>
        <v>11597.012033308931</v>
      </c>
    </row>
    <row r="198" spans="1:8" x14ac:dyDescent="0.35">
      <c r="A198" t="s">
        <v>254</v>
      </c>
      <c r="B198" t="s">
        <v>62</v>
      </c>
      <c r="C198" s="3">
        <v>45587</v>
      </c>
      <c r="D198" s="4">
        <v>7750</v>
      </c>
      <c r="E198" s="4">
        <v>1146</v>
      </c>
      <c r="F198" s="4">
        <v>415</v>
      </c>
      <c r="G198" s="4">
        <v>172439</v>
      </c>
      <c r="H198" s="4">
        <f>Table2[[#This Row],[Likes]]+Table2[[#This Row],[Shares]]+Table2[[#This Row],[Comments]]/Table2[[#This Row],[Impressions]]</f>
        <v>8896.0024066481474</v>
      </c>
    </row>
    <row r="199" spans="1:8" x14ac:dyDescent="0.35">
      <c r="A199" t="s">
        <v>255</v>
      </c>
      <c r="B199" t="s">
        <v>41</v>
      </c>
      <c r="C199" s="3">
        <v>45919</v>
      </c>
      <c r="D199" s="4">
        <v>14772</v>
      </c>
      <c r="E199" s="4">
        <v>1030</v>
      </c>
      <c r="F199" s="4">
        <v>508</v>
      </c>
      <c r="G199" s="4">
        <v>155142</v>
      </c>
      <c r="H199" s="4">
        <f>Table2[[#This Row],[Likes]]+Table2[[#This Row],[Shares]]+Table2[[#This Row],[Comments]]/Table2[[#This Row],[Impressions]]</f>
        <v>15802.003274419563</v>
      </c>
    </row>
    <row r="200" spans="1:8" x14ac:dyDescent="0.35">
      <c r="A200" t="s">
        <v>256</v>
      </c>
      <c r="B200" t="s">
        <v>45</v>
      </c>
      <c r="C200" s="3">
        <v>45920</v>
      </c>
      <c r="D200" s="4">
        <v>12267</v>
      </c>
      <c r="E200" s="4">
        <v>1487</v>
      </c>
      <c r="F200" s="4">
        <v>489</v>
      </c>
      <c r="G200" s="4">
        <v>131736</v>
      </c>
      <c r="H200" s="4">
        <f>Table2[[#This Row],[Likes]]+Table2[[#This Row],[Shares]]+Table2[[#This Row],[Comments]]/Table2[[#This Row],[Impressions]]</f>
        <v>13754.003711969393</v>
      </c>
    </row>
    <row r="201" spans="1:8" x14ac:dyDescent="0.35">
      <c r="A201" t="s">
        <v>257</v>
      </c>
      <c r="B201" t="s">
        <v>36</v>
      </c>
      <c r="C201" s="3">
        <v>45754</v>
      </c>
      <c r="D201" s="4">
        <v>3062</v>
      </c>
      <c r="E201" s="4">
        <v>1124</v>
      </c>
      <c r="F201" s="4">
        <v>538</v>
      </c>
      <c r="G201" s="4">
        <v>91924</v>
      </c>
      <c r="H201" s="4">
        <f>Table2[[#This Row],[Likes]]+Table2[[#This Row],[Shares]]+Table2[[#This Row],[Comments]]/Table2[[#This Row],[Impressions]]</f>
        <v>4186.0058526608937</v>
      </c>
    </row>
    <row r="202" spans="1:8" x14ac:dyDescent="0.35">
      <c r="A202" t="s">
        <v>258</v>
      </c>
      <c r="B202" t="s">
        <v>36</v>
      </c>
      <c r="C202" s="3">
        <v>45672</v>
      </c>
      <c r="D202" s="4">
        <v>20360</v>
      </c>
      <c r="E202" s="4">
        <v>254</v>
      </c>
      <c r="F202" s="4">
        <v>726</v>
      </c>
      <c r="G202" s="4">
        <v>43726</v>
      </c>
      <c r="H202" s="4">
        <f>Table2[[#This Row],[Likes]]+Table2[[#This Row],[Shares]]+Table2[[#This Row],[Comments]]/Table2[[#This Row],[Impressions]]</f>
        <v>20614.016603393862</v>
      </c>
    </row>
    <row r="203" spans="1:8" x14ac:dyDescent="0.35">
      <c r="A203" t="s">
        <v>259</v>
      </c>
      <c r="B203" t="s">
        <v>41</v>
      </c>
      <c r="C203" s="3">
        <v>45921</v>
      </c>
      <c r="D203" s="4">
        <v>19680</v>
      </c>
      <c r="E203" s="4">
        <v>999</v>
      </c>
      <c r="F203" s="4">
        <v>838</v>
      </c>
      <c r="G203" s="4">
        <v>129152</v>
      </c>
      <c r="H203" s="4">
        <f>Table2[[#This Row],[Likes]]+Table2[[#This Row],[Shares]]+Table2[[#This Row],[Comments]]/Table2[[#This Row],[Impressions]]</f>
        <v>20679.006488478692</v>
      </c>
    </row>
    <row r="204" spans="1:8" x14ac:dyDescent="0.35">
      <c r="A204" t="s">
        <v>260</v>
      </c>
      <c r="B204" t="s">
        <v>36</v>
      </c>
      <c r="C204" s="3">
        <v>45617</v>
      </c>
      <c r="D204" s="4">
        <v>8229</v>
      </c>
      <c r="E204" s="4">
        <v>977</v>
      </c>
      <c r="F204" s="4">
        <v>152</v>
      </c>
      <c r="G204" s="4">
        <v>67723</v>
      </c>
      <c r="H204" s="4">
        <f>Table2[[#This Row],[Likes]]+Table2[[#This Row],[Shares]]+Table2[[#This Row],[Comments]]/Table2[[#This Row],[Impressions]]</f>
        <v>9206.0022444368969</v>
      </c>
    </row>
    <row r="205" spans="1:8" x14ac:dyDescent="0.35">
      <c r="A205" t="s">
        <v>261</v>
      </c>
      <c r="B205" t="s">
        <v>45</v>
      </c>
      <c r="C205" s="3">
        <v>45922</v>
      </c>
      <c r="D205" s="4">
        <v>18509</v>
      </c>
      <c r="E205" s="4">
        <v>361</v>
      </c>
      <c r="F205" s="4">
        <v>578</v>
      </c>
      <c r="G205" s="4">
        <v>166969</v>
      </c>
      <c r="H205" s="4">
        <f>Table2[[#This Row],[Likes]]+Table2[[#This Row],[Shares]]+Table2[[#This Row],[Comments]]/Table2[[#This Row],[Impressions]]</f>
        <v>18870.00346172044</v>
      </c>
    </row>
    <row r="206" spans="1:8" x14ac:dyDescent="0.35">
      <c r="A206" t="s">
        <v>262</v>
      </c>
      <c r="B206" t="s">
        <v>41</v>
      </c>
      <c r="C206" s="3">
        <v>45923</v>
      </c>
      <c r="D206" s="4">
        <v>17147</v>
      </c>
      <c r="E206" s="4">
        <v>286</v>
      </c>
      <c r="F206" s="4">
        <v>291</v>
      </c>
      <c r="G206" s="4">
        <v>140494</v>
      </c>
      <c r="H206" s="4">
        <f>Table2[[#This Row],[Likes]]+Table2[[#This Row],[Shares]]+Table2[[#This Row],[Comments]]/Table2[[#This Row],[Impressions]]</f>
        <v>17433.002071262828</v>
      </c>
    </row>
    <row r="207" spans="1:8" x14ac:dyDescent="0.35">
      <c r="A207" t="s">
        <v>263</v>
      </c>
      <c r="B207" t="s">
        <v>45</v>
      </c>
      <c r="C207" s="3">
        <v>45467</v>
      </c>
      <c r="D207" s="4">
        <v>6632</v>
      </c>
      <c r="E207" s="4">
        <v>254</v>
      </c>
      <c r="F207" s="4">
        <v>525</v>
      </c>
      <c r="G207" s="4">
        <v>180180</v>
      </c>
      <c r="H207" s="4">
        <f>Table2[[#This Row],[Likes]]+Table2[[#This Row],[Shares]]+Table2[[#This Row],[Comments]]/Table2[[#This Row],[Impressions]]</f>
        <v>6886.0029137529136</v>
      </c>
    </row>
    <row r="208" spans="1:8" x14ac:dyDescent="0.35">
      <c r="A208" t="s">
        <v>264</v>
      </c>
      <c r="B208" t="s">
        <v>41</v>
      </c>
      <c r="C208" s="3">
        <v>45655</v>
      </c>
      <c r="D208" s="4">
        <v>8288</v>
      </c>
      <c r="E208" s="4">
        <v>1401</v>
      </c>
      <c r="F208" s="4">
        <v>819</v>
      </c>
      <c r="G208" s="4">
        <v>248786</v>
      </c>
      <c r="H208" s="4">
        <f>Table2[[#This Row],[Likes]]+Table2[[#This Row],[Shares]]+Table2[[#This Row],[Comments]]/Table2[[#This Row],[Impressions]]</f>
        <v>9689.0032919858841</v>
      </c>
    </row>
    <row r="209" spans="1:8" x14ac:dyDescent="0.35">
      <c r="A209" t="s">
        <v>265</v>
      </c>
      <c r="B209" t="s">
        <v>41</v>
      </c>
      <c r="C209" s="3">
        <v>45467</v>
      </c>
      <c r="D209" s="4">
        <v>5596</v>
      </c>
      <c r="E209" s="4">
        <v>1231</v>
      </c>
      <c r="F209" s="4">
        <v>473</v>
      </c>
      <c r="G209" s="4">
        <v>75643</v>
      </c>
      <c r="H209" s="4">
        <f>Table2[[#This Row],[Likes]]+Table2[[#This Row],[Shares]]+Table2[[#This Row],[Comments]]/Table2[[#This Row],[Impressions]]</f>
        <v>6827.006253057124</v>
      </c>
    </row>
    <row r="210" spans="1:8" x14ac:dyDescent="0.35">
      <c r="A210" t="s">
        <v>266</v>
      </c>
      <c r="B210" t="s">
        <v>62</v>
      </c>
      <c r="C210" s="3">
        <v>45735</v>
      </c>
      <c r="D210" s="4">
        <v>13475</v>
      </c>
      <c r="E210" s="4">
        <v>1032</v>
      </c>
      <c r="F210" s="4">
        <v>295</v>
      </c>
      <c r="G210" s="4">
        <v>202396</v>
      </c>
      <c r="H210" s="4">
        <f>Table2[[#This Row],[Likes]]+Table2[[#This Row],[Shares]]+Table2[[#This Row],[Comments]]/Table2[[#This Row],[Impressions]]</f>
        <v>14507.001457538687</v>
      </c>
    </row>
    <row r="211" spans="1:8" x14ac:dyDescent="0.35">
      <c r="A211" t="s">
        <v>267</v>
      </c>
      <c r="B211" t="s">
        <v>45</v>
      </c>
      <c r="C211" s="3">
        <v>45707</v>
      </c>
      <c r="D211" s="4">
        <v>8168</v>
      </c>
      <c r="E211" s="4">
        <v>512</v>
      </c>
      <c r="F211" s="4">
        <v>442</v>
      </c>
      <c r="G211" s="4">
        <v>143896</v>
      </c>
      <c r="H211" s="4">
        <f>Table2[[#This Row],[Likes]]+Table2[[#This Row],[Shares]]+Table2[[#This Row],[Comments]]/Table2[[#This Row],[Impressions]]</f>
        <v>8680.003071662868</v>
      </c>
    </row>
    <row r="212" spans="1:8" x14ac:dyDescent="0.35">
      <c r="A212" t="s">
        <v>268</v>
      </c>
      <c r="B212" t="s">
        <v>36</v>
      </c>
      <c r="C212" s="3">
        <v>45924</v>
      </c>
      <c r="D212" s="4">
        <v>11795</v>
      </c>
      <c r="E212" s="4">
        <v>958</v>
      </c>
      <c r="F212" s="4">
        <v>814</v>
      </c>
      <c r="G212" s="4">
        <v>179999</v>
      </c>
      <c r="H212" s="4">
        <f>Table2[[#This Row],[Likes]]+Table2[[#This Row],[Shares]]+Table2[[#This Row],[Comments]]/Table2[[#This Row],[Impressions]]</f>
        <v>12753.004522247345</v>
      </c>
    </row>
    <row r="213" spans="1:8" x14ac:dyDescent="0.35">
      <c r="A213" t="s">
        <v>269</v>
      </c>
      <c r="B213" t="s">
        <v>36</v>
      </c>
      <c r="C213" s="3">
        <v>45719</v>
      </c>
      <c r="D213" s="4">
        <v>9561</v>
      </c>
      <c r="E213" s="4">
        <v>642</v>
      </c>
      <c r="F213" s="4">
        <v>581</v>
      </c>
      <c r="G213" s="4">
        <v>133680</v>
      </c>
      <c r="H213" s="4">
        <f>Table2[[#This Row],[Likes]]+Table2[[#This Row],[Shares]]+Table2[[#This Row],[Comments]]/Table2[[#This Row],[Impressions]]</f>
        <v>10203.004346199881</v>
      </c>
    </row>
    <row r="214" spans="1:8" x14ac:dyDescent="0.35">
      <c r="A214" t="s">
        <v>270</v>
      </c>
      <c r="B214" t="s">
        <v>45</v>
      </c>
      <c r="C214" s="3">
        <v>45778</v>
      </c>
      <c r="D214" s="4">
        <v>10258</v>
      </c>
      <c r="E214" s="4">
        <v>527</v>
      </c>
      <c r="F214" s="4">
        <v>854</v>
      </c>
      <c r="G214" s="4">
        <v>136546</v>
      </c>
      <c r="H214" s="4">
        <f>Table2[[#This Row],[Likes]]+Table2[[#This Row],[Shares]]+Table2[[#This Row],[Comments]]/Table2[[#This Row],[Impressions]]</f>
        <v>10785.00625430258</v>
      </c>
    </row>
    <row r="215" spans="1:8" x14ac:dyDescent="0.35">
      <c r="A215" t="s">
        <v>271</v>
      </c>
      <c r="B215" t="s">
        <v>36</v>
      </c>
      <c r="C215" s="3">
        <v>45649</v>
      </c>
      <c r="D215" s="4">
        <v>18616</v>
      </c>
      <c r="E215" s="4">
        <v>1277</v>
      </c>
      <c r="F215" s="4">
        <v>734</v>
      </c>
      <c r="G215" s="4">
        <v>193515</v>
      </c>
      <c r="H215" s="4">
        <f>Table2[[#This Row],[Likes]]+Table2[[#This Row],[Shares]]+Table2[[#This Row],[Comments]]/Table2[[#This Row],[Impressions]]</f>
        <v>19893.003792987623</v>
      </c>
    </row>
    <row r="216" spans="1:8" x14ac:dyDescent="0.35">
      <c r="A216" t="s">
        <v>272</v>
      </c>
      <c r="B216" t="s">
        <v>36</v>
      </c>
      <c r="C216" s="3">
        <v>45925</v>
      </c>
      <c r="D216" s="4">
        <v>8371</v>
      </c>
      <c r="E216" s="4">
        <v>960</v>
      </c>
      <c r="F216" s="4">
        <v>548</v>
      </c>
      <c r="G216" s="4">
        <v>119973</v>
      </c>
      <c r="H216" s="4">
        <f>Table2[[#This Row],[Likes]]+Table2[[#This Row],[Shares]]+Table2[[#This Row],[Comments]]/Table2[[#This Row],[Impressions]]</f>
        <v>9331.0045676943973</v>
      </c>
    </row>
    <row r="217" spans="1:8" x14ac:dyDescent="0.35">
      <c r="A217" t="s">
        <v>273</v>
      </c>
      <c r="B217" t="s">
        <v>45</v>
      </c>
      <c r="C217" s="3">
        <v>45502</v>
      </c>
      <c r="D217" s="4">
        <v>22590</v>
      </c>
      <c r="E217" s="4">
        <v>1462</v>
      </c>
      <c r="F217" s="4">
        <v>966</v>
      </c>
      <c r="G217" s="4">
        <v>103449</v>
      </c>
      <c r="H217" s="4">
        <f>Table2[[#This Row],[Likes]]+Table2[[#This Row],[Shares]]+Table2[[#This Row],[Comments]]/Table2[[#This Row],[Impressions]]</f>
        <v>24052.009337934633</v>
      </c>
    </row>
    <row r="218" spans="1:8" x14ac:dyDescent="0.35">
      <c r="A218" t="s">
        <v>274</v>
      </c>
      <c r="B218" t="s">
        <v>41</v>
      </c>
      <c r="C218" s="3">
        <v>45926</v>
      </c>
      <c r="D218" s="4">
        <v>16369</v>
      </c>
      <c r="E218" s="4">
        <v>1452</v>
      </c>
      <c r="F218" s="4">
        <v>493</v>
      </c>
      <c r="G218" s="4">
        <v>149834</v>
      </c>
      <c r="H218" s="4">
        <f>Table2[[#This Row],[Likes]]+Table2[[#This Row],[Shares]]+Table2[[#This Row],[Comments]]/Table2[[#This Row],[Impressions]]</f>
        <v>17821.003290307941</v>
      </c>
    </row>
    <row r="219" spans="1:8" x14ac:dyDescent="0.35">
      <c r="A219" t="s">
        <v>275</v>
      </c>
      <c r="B219" t="s">
        <v>45</v>
      </c>
      <c r="C219" s="3">
        <v>45454</v>
      </c>
      <c r="D219" s="4">
        <v>14910</v>
      </c>
      <c r="E219" s="4">
        <v>778</v>
      </c>
      <c r="F219" s="4">
        <v>289</v>
      </c>
      <c r="G219" s="4">
        <v>247815</v>
      </c>
      <c r="H219" s="4">
        <f>Table2[[#This Row],[Likes]]+Table2[[#This Row],[Shares]]+Table2[[#This Row],[Comments]]/Table2[[#This Row],[Impressions]]</f>
        <v>15688.001166192522</v>
      </c>
    </row>
    <row r="220" spans="1:8" x14ac:dyDescent="0.35">
      <c r="A220" t="s">
        <v>276</v>
      </c>
      <c r="B220" t="s">
        <v>41</v>
      </c>
      <c r="C220" s="3">
        <v>45685</v>
      </c>
      <c r="D220" s="4">
        <v>9943</v>
      </c>
      <c r="E220" s="4">
        <v>1274</v>
      </c>
      <c r="F220" s="4">
        <v>336</v>
      </c>
      <c r="G220" s="4">
        <v>231305</v>
      </c>
      <c r="H220" s="4">
        <f>Table2[[#This Row],[Likes]]+Table2[[#This Row],[Shares]]+Table2[[#This Row],[Comments]]/Table2[[#This Row],[Impressions]]</f>
        <v>11217.001452627483</v>
      </c>
    </row>
    <row r="221" spans="1:8" x14ac:dyDescent="0.35">
      <c r="A221" t="s">
        <v>277</v>
      </c>
      <c r="B221" t="s">
        <v>36</v>
      </c>
      <c r="C221" s="3">
        <v>45445</v>
      </c>
      <c r="D221" s="4">
        <v>14199</v>
      </c>
      <c r="E221" s="4">
        <v>1206</v>
      </c>
      <c r="F221" s="4">
        <v>954</v>
      </c>
      <c r="G221" s="4">
        <v>65537</v>
      </c>
      <c r="H221" s="4">
        <f>Table2[[#This Row],[Likes]]+Table2[[#This Row],[Shares]]+Table2[[#This Row],[Comments]]/Table2[[#This Row],[Impressions]]</f>
        <v>15405.014556662649</v>
      </c>
    </row>
    <row r="222" spans="1:8" x14ac:dyDescent="0.35">
      <c r="A222" t="s">
        <v>278</v>
      </c>
      <c r="B222" t="s">
        <v>36</v>
      </c>
      <c r="C222" s="3">
        <v>45739</v>
      </c>
      <c r="D222" s="4">
        <v>17728</v>
      </c>
      <c r="E222" s="4">
        <v>1487</v>
      </c>
      <c r="F222" s="4">
        <v>210</v>
      </c>
      <c r="G222" s="4">
        <v>117576</v>
      </c>
      <c r="H222" s="4">
        <f>Table2[[#This Row],[Likes]]+Table2[[#This Row],[Shares]]+Table2[[#This Row],[Comments]]/Table2[[#This Row],[Impressions]]</f>
        <v>19215.001786078792</v>
      </c>
    </row>
    <row r="223" spans="1:8" x14ac:dyDescent="0.35">
      <c r="A223" t="s">
        <v>279</v>
      </c>
      <c r="B223" t="s">
        <v>36</v>
      </c>
      <c r="C223" s="3">
        <v>45573</v>
      </c>
      <c r="D223" s="4">
        <v>8738</v>
      </c>
      <c r="E223" s="4">
        <v>295</v>
      </c>
      <c r="F223" s="4">
        <v>529</v>
      </c>
      <c r="G223" s="4">
        <v>147522</v>
      </c>
      <c r="H223" s="4">
        <f>Table2[[#This Row],[Likes]]+Table2[[#This Row],[Shares]]+Table2[[#This Row],[Comments]]/Table2[[#This Row],[Impressions]]</f>
        <v>9033.0035859058316</v>
      </c>
    </row>
    <row r="224" spans="1:8" x14ac:dyDescent="0.35">
      <c r="A224" t="s">
        <v>280</v>
      </c>
      <c r="B224" t="s">
        <v>62</v>
      </c>
      <c r="C224" s="3">
        <v>45608</v>
      </c>
      <c r="D224" s="4">
        <v>17913</v>
      </c>
      <c r="E224" s="4">
        <v>1311</v>
      </c>
      <c r="F224" s="4">
        <v>859</v>
      </c>
      <c r="G224" s="4">
        <v>62612</v>
      </c>
      <c r="H224" s="4">
        <f>Table2[[#This Row],[Likes]]+Table2[[#This Row],[Shares]]+Table2[[#This Row],[Comments]]/Table2[[#This Row],[Impressions]]</f>
        <v>19224.013719414808</v>
      </c>
    </row>
    <row r="225" spans="1:8" x14ac:dyDescent="0.35">
      <c r="A225" t="s">
        <v>281</v>
      </c>
      <c r="B225" t="s">
        <v>41</v>
      </c>
      <c r="C225" s="3">
        <v>45907</v>
      </c>
      <c r="D225" s="4">
        <v>4472</v>
      </c>
      <c r="E225" s="4">
        <v>1301</v>
      </c>
      <c r="F225" s="4">
        <v>956</v>
      </c>
      <c r="G225" s="4">
        <v>46471</v>
      </c>
      <c r="H225" s="4">
        <f>Table2[[#This Row],[Likes]]+Table2[[#This Row],[Shares]]+Table2[[#This Row],[Comments]]/Table2[[#This Row],[Impressions]]</f>
        <v>5773.020571969615</v>
      </c>
    </row>
    <row r="226" spans="1:8" x14ac:dyDescent="0.35">
      <c r="A226" t="s">
        <v>282</v>
      </c>
      <c r="B226" t="s">
        <v>62</v>
      </c>
      <c r="C226" s="3">
        <v>45463</v>
      </c>
      <c r="D226" s="4">
        <v>21123</v>
      </c>
      <c r="E226" s="4">
        <v>1343</v>
      </c>
      <c r="F226" s="4">
        <v>589</v>
      </c>
      <c r="G226" s="4">
        <v>206703</v>
      </c>
      <c r="H226" s="4">
        <f>Table2[[#This Row],[Likes]]+Table2[[#This Row],[Shares]]+Table2[[#This Row],[Comments]]/Table2[[#This Row],[Impressions]]</f>
        <v>22466.00284949904</v>
      </c>
    </row>
    <row r="227" spans="1:8" x14ac:dyDescent="0.35">
      <c r="A227" t="s">
        <v>283</v>
      </c>
      <c r="B227" t="s">
        <v>62</v>
      </c>
      <c r="C227" s="3">
        <v>45908</v>
      </c>
      <c r="D227" s="4">
        <v>23785</v>
      </c>
      <c r="E227" s="4">
        <v>1013</v>
      </c>
      <c r="F227" s="4">
        <v>468</v>
      </c>
      <c r="G227" s="4">
        <v>71348</v>
      </c>
      <c r="H227" s="4">
        <f>Table2[[#This Row],[Likes]]+Table2[[#This Row],[Shares]]+Table2[[#This Row],[Comments]]/Table2[[#This Row],[Impressions]]</f>
        <v>24798.006559399004</v>
      </c>
    </row>
    <row r="228" spans="1:8" x14ac:dyDescent="0.35">
      <c r="A228" t="s">
        <v>284</v>
      </c>
      <c r="B228" t="s">
        <v>45</v>
      </c>
      <c r="C228" s="3">
        <v>45455</v>
      </c>
      <c r="D228" s="4">
        <v>17679</v>
      </c>
      <c r="E228" s="4">
        <v>690</v>
      </c>
      <c r="F228" s="4">
        <v>451</v>
      </c>
      <c r="G228" s="4">
        <v>235804</v>
      </c>
      <c r="H228" s="4">
        <f>Table2[[#This Row],[Likes]]+Table2[[#This Row],[Shares]]+Table2[[#This Row],[Comments]]/Table2[[#This Row],[Impressions]]</f>
        <v>18369.001912605385</v>
      </c>
    </row>
    <row r="229" spans="1:8" x14ac:dyDescent="0.35">
      <c r="A229" t="s">
        <v>285</v>
      </c>
      <c r="B229" t="s">
        <v>62</v>
      </c>
      <c r="C229" s="3">
        <v>45474</v>
      </c>
      <c r="D229" s="4">
        <v>3761</v>
      </c>
      <c r="E229" s="4">
        <v>651</v>
      </c>
      <c r="F229" s="4">
        <v>493</v>
      </c>
      <c r="G229" s="4">
        <v>41177</v>
      </c>
      <c r="H229" s="4">
        <f>Table2[[#This Row],[Likes]]+Table2[[#This Row],[Shares]]+Table2[[#This Row],[Comments]]/Table2[[#This Row],[Impressions]]</f>
        <v>4412.0119727032079</v>
      </c>
    </row>
    <row r="230" spans="1:8" x14ac:dyDescent="0.35">
      <c r="A230" t="s">
        <v>286</v>
      </c>
      <c r="B230" t="s">
        <v>45</v>
      </c>
      <c r="C230" s="3">
        <v>45476</v>
      </c>
      <c r="D230" s="4">
        <v>12167</v>
      </c>
      <c r="E230" s="4">
        <v>364</v>
      </c>
      <c r="F230" s="4">
        <v>160</v>
      </c>
      <c r="G230" s="4">
        <v>175832</v>
      </c>
      <c r="H230" s="4">
        <f>Table2[[#This Row],[Likes]]+Table2[[#This Row],[Shares]]+Table2[[#This Row],[Comments]]/Table2[[#This Row],[Impressions]]</f>
        <v>12531.000909959506</v>
      </c>
    </row>
    <row r="231" spans="1:8" x14ac:dyDescent="0.35">
      <c r="A231" t="s">
        <v>287</v>
      </c>
      <c r="B231" t="s">
        <v>45</v>
      </c>
      <c r="C231" s="3">
        <v>45488</v>
      </c>
      <c r="D231" s="4">
        <v>12554</v>
      </c>
      <c r="E231" s="4">
        <v>381</v>
      </c>
      <c r="F231" s="4">
        <v>211</v>
      </c>
      <c r="G231" s="4">
        <v>72779</v>
      </c>
      <c r="H231" s="4">
        <f>Table2[[#This Row],[Likes]]+Table2[[#This Row],[Shares]]+Table2[[#This Row],[Comments]]/Table2[[#This Row],[Impressions]]</f>
        <v>12935.002899187952</v>
      </c>
    </row>
    <row r="232" spans="1:8" x14ac:dyDescent="0.35">
      <c r="A232" t="s">
        <v>288</v>
      </c>
      <c r="B232" t="s">
        <v>62</v>
      </c>
      <c r="C232" s="3">
        <v>45909</v>
      </c>
      <c r="D232" s="4">
        <v>19260</v>
      </c>
      <c r="E232" s="4">
        <v>668</v>
      </c>
      <c r="F232" s="4">
        <v>994</v>
      </c>
      <c r="G232" s="4">
        <v>61636</v>
      </c>
      <c r="H232" s="4">
        <f>Table2[[#This Row],[Likes]]+Table2[[#This Row],[Shares]]+Table2[[#This Row],[Comments]]/Table2[[#This Row],[Impressions]]</f>
        <v>19928.016126938801</v>
      </c>
    </row>
    <row r="233" spans="1:8" x14ac:dyDescent="0.35">
      <c r="A233" t="s">
        <v>289</v>
      </c>
      <c r="B233" t="s">
        <v>41</v>
      </c>
      <c r="C233" s="3">
        <v>45776</v>
      </c>
      <c r="D233" s="4">
        <v>16277</v>
      </c>
      <c r="E233" s="4">
        <v>1109</v>
      </c>
      <c r="F233" s="4">
        <v>375</v>
      </c>
      <c r="G233" s="4">
        <v>121889</v>
      </c>
      <c r="H233" s="4">
        <f>Table2[[#This Row],[Likes]]+Table2[[#This Row],[Shares]]+Table2[[#This Row],[Comments]]/Table2[[#This Row],[Impressions]]</f>
        <v>17386.003076569665</v>
      </c>
    </row>
    <row r="234" spans="1:8" x14ac:dyDescent="0.35">
      <c r="A234" t="s">
        <v>290</v>
      </c>
      <c r="B234" t="s">
        <v>41</v>
      </c>
      <c r="C234" s="3">
        <v>45724</v>
      </c>
      <c r="D234" s="4">
        <v>5812</v>
      </c>
      <c r="E234" s="4">
        <v>934</v>
      </c>
      <c r="F234" s="4">
        <v>302</v>
      </c>
      <c r="G234" s="4">
        <v>93551</v>
      </c>
      <c r="H234" s="4">
        <f>Table2[[#This Row],[Likes]]+Table2[[#This Row],[Shares]]+Table2[[#This Row],[Comments]]/Table2[[#This Row],[Impressions]]</f>
        <v>6746.0032281856957</v>
      </c>
    </row>
    <row r="235" spans="1:8" x14ac:dyDescent="0.35">
      <c r="A235" t="s">
        <v>291</v>
      </c>
      <c r="B235" t="s">
        <v>41</v>
      </c>
      <c r="C235" s="3">
        <v>45444</v>
      </c>
      <c r="D235" s="4">
        <v>19844</v>
      </c>
      <c r="E235" s="4">
        <v>1022</v>
      </c>
      <c r="F235" s="4">
        <v>860</v>
      </c>
      <c r="G235" s="4">
        <v>182628</v>
      </c>
      <c r="H235" s="4">
        <f>Table2[[#This Row],[Likes]]+Table2[[#This Row],[Shares]]+Table2[[#This Row],[Comments]]/Table2[[#This Row],[Impressions]]</f>
        <v>20866.004709025998</v>
      </c>
    </row>
    <row r="236" spans="1:8" x14ac:dyDescent="0.35">
      <c r="A236" t="s">
        <v>292</v>
      </c>
      <c r="B236" t="s">
        <v>41</v>
      </c>
      <c r="C236" s="3">
        <v>45648</v>
      </c>
      <c r="D236" s="4">
        <v>20117</v>
      </c>
      <c r="E236" s="4">
        <v>1143</v>
      </c>
      <c r="F236" s="4">
        <v>713</v>
      </c>
      <c r="G236" s="4">
        <v>198670</v>
      </c>
      <c r="H236" s="4">
        <f>Table2[[#This Row],[Likes]]+Table2[[#This Row],[Shares]]+Table2[[#This Row],[Comments]]/Table2[[#This Row],[Impressions]]</f>
        <v>21260.003588865959</v>
      </c>
    </row>
    <row r="237" spans="1:8" x14ac:dyDescent="0.35">
      <c r="A237" t="s">
        <v>293</v>
      </c>
      <c r="B237" t="s">
        <v>41</v>
      </c>
      <c r="C237" s="3">
        <v>45523</v>
      </c>
      <c r="D237" s="4">
        <v>3605</v>
      </c>
      <c r="E237" s="4">
        <v>206</v>
      </c>
      <c r="F237" s="4">
        <v>921</v>
      </c>
      <c r="G237" s="4">
        <v>182635</v>
      </c>
      <c r="H237" s="4">
        <f>Table2[[#This Row],[Likes]]+Table2[[#This Row],[Shares]]+Table2[[#This Row],[Comments]]/Table2[[#This Row],[Impressions]]</f>
        <v>3811.0050428450186</v>
      </c>
    </row>
    <row r="238" spans="1:8" x14ac:dyDescent="0.35">
      <c r="A238" t="s">
        <v>294</v>
      </c>
      <c r="B238" t="s">
        <v>62</v>
      </c>
      <c r="C238" s="3">
        <v>45587</v>
      </c>
      <c r="D238" s="4">
        <v>7622</v>
      </c>
      <c r="E238" s="4">
        <v>529</v>
      </c>
      <c r="F238" s="4">
        <v>720</v>
      </c>
      <c r="G238" s="4">
        <v>86819</v>
      </c>
      <c r="H238" s="4">
        <f>Table2[[#This Row],[Likes]]+Table2[[#This Row],[Shares]]+Table2[[#This Row],[Comments]]/Table2[[#This Row],[Impressions]]</f>
        <v>8151.0082931155621</v>
      </c>
    </row>
    <row r="239" spans="1:8" x14ac:dyDescent="0.35">
      <c r="A239" t="s">
        <v>295</v>
      </c>
      <c r="B239" t="s">
        <v>62</v>
      </c>
      <c r="C239" s="3">
        <v>45489</v>
      </c>
      <c r="D239" s="4">
        <v>8767</v>
      </c>
      <c r="E239" s="4">
        <v>974</v>
      </c>
      <c r="F239" s="4">
        <v>733</v>
      </c>
      <c r="G239" s="4">
        <v>113770</v>
      </c>
      <c r="H239" s="4">
        <f>Table2[[#This Row],[Likes]]+Table2[[#This Row],[Shares]]+Table2[[#This Row],[Comments]]/Table2[[#This Row],[Impressions]]</f>
        <v>9741.0064428232399</v>
      </c>
    </row>
    <row r="240" spans="1:8" x14ac:dyDescent="0.35">
      <c r="A240" t="s">
        <v>296</v>
      </c>
      <c r="B240" t="s">
        <v>36</v>
      </c>
      <c r="C240" s="3">
        <v>45910</v>
      </c>
      <c r="D240" s="4">
        <v>13613</v>
      </c>
      <c r="E240" s="4">
        <v>350</v>
      </c>
      <c r="F240" s="4">
        <v>809</v>
      </c>
      <c r="G240" s="4">
        <v>198038</v>
      </c>
      <c r="H240" s="4">
        <f>Table2[[#This Row],[Likes]]+Table2[[#This Row],[Shares]]+Table2[[#This Row],[Comments]]/Table2[[#This Row],[Impressions]]</f>
        <v>13963.004085074581</v>
      </c>
    </row>
    <row r="241" spans="1:8" x14ac:dyDescent="0.35">
      <c r="A241" t="s">
        <v>297</v>
      </c>
      <c r="B241" t="s">
        <v>41</v>
      </c>
      <c r="C241" s="3">
        <v>45911</v>
      </c>
      <c r="D241" s="4">
        <v>21901</v>
      </c>
      <c r="E241" s="4">
        <v>1308</v>
      </c>
      <c r="F241" s="4">
        <v>724</v>
      </c>
      <c r="G241" s="4">
        <v>230961</v>
      </c>
      <c r="H241" s="4">
        <f>Table2[[#This Row],[Likes]]+Table2[[#This Row],[Shares]]+Table2[[#This Row],[Comments]]/Table2[[#This Row],[Impressions]]</f>
        <v>23209.003134728373</v>
      </c>
    </row>
    <row r="242" spans="1:8" x14ac:dyDescent="0.35">
      <c r="A242" t="s">
        <v>298</v>
      </c>
      <c r="B242" t="s">
        <v>62</v>
      </c>
      <c r="C242" s="3">
        <v>45675</v>
      </c>
      <c r="D242" s="4">
        <v>12589</v>
      </c>
      <c r="E242" s="4">
        <v>346</v>
      </c>
      <c r="F242" s="4">
        <v>459</v>
      </c>
      <c r="G242" s="4">
        <v>198059</v>
      </c>
      <c r="H242" s="4">
        <f>Table2[[#This Row],[Likes]]+Table2[[#This Row],[Shares]]+Table2[[#This Row],[Comments]]/Table2[[#This Row],[Impressions]]</f>
        <v>12935.002317491253</v>
      </c>
    </row>
    <row r="243" spans="1:8" x14ac:dyDescent="0.35">
      <c r="A243" t="s">
        <v>299</v>
      </c>
      <c r="B243" t="s">
        <v>36</v>
      </c>
      <c r="C243" s="3">
        <v>45912</v>
      </c>
      <c r="D243" s="4">
        <v>15918</v>
      </c>
      <c r="E243" s="4">
        <v>1114</v>
      </c>
      <c r="F243" s="4">
        <v>392</v>
      </c>
      <c r="G243" s="4">
        <v>118714</v>
      </c>
      <c r="H243" s="4">
        <f>Table2[[#This Row],[Likes]]+Table2[[#This Row],[Shares]]+Table2[[#This Row],[Comments]]/Table2[[#This Row],[Impressions]]</f>
        <v>17032.003302053676</v>
      </c>
    </row>
    <row r="244" spans="1:8" x14ac:dyDescent="0.35">
      <c r="A244" t="s">
        <v>300</v>
      </c>
      <c r="B244" t="s">
        <v>41</v>
      </c>
      <c r="C244" s="3">
        <v>45722</v>
      </c>
      <c r="D244" s="4">
        <v>22119</v>
      </c>
      <c r="E244" s="4">
        <v>899</v>
      </c>
      <c r="F244" s="4">
        <v>642</v>
      </c>
      <c r="G244" s="4">
        <v>229420</v>
      </c>
      <c r="H244" s="4">
        <f>Table2[[#This Row],[Likes]]+Table2[[#This Row],[Shares]]+Table2[[#This Row],[Comments]]/Table2[[#This Row],[Impressions]]</f>
        <v>23018.002798361085</v>
      </c>
    </row>
    <row r="245" spans="1:8" x14ac:dyDescent="0.35">
      <c r="A245" t="s">
        <v>301</v>
      </c>
      <c r="B245" t="s">
        <v>45</v>
      </c>
      <c r="C245" s="3">
        <v>45913</v>
      </c>
      <c r="D245" s="4">
        <v>15046</v>
      </c>
      <c r="E245" s="4">
        <v>281</v>
      </c>
      <c r="F245" s="4">
        <v>515</v>
      </c>
      <c r="G245" s="4">
        <v>64596</v>
      </c>
      <c r="H245" s="4">
        <f>Table2[[#This Row],[Likes]]+Table2[[#This Row],[Shares]]+Table2[[#This Row],[Comments]]/Table2[[#This Row],[Impressions]]</f>
        <v>15327.007972629885</v>
      </c>
    </row>
    <row r="246" spans="1:8" x14ac:dyDescent="0.35">
      <c r="A246" t="s">
        <v>302</v>
      </c>
      <c r="B246" t="s">
        <v>36</v>
      </c>
      <c r="C246" s="3">
        <v>45669</v>
      </c>
      <c r="D246" s="4">
        <v>4590</v>
      </c>
      <c r="E246" s="4">
        <v>713</v>
      </c>
      <c r="F246" s="4">
        <v>479</v>
      </c>
      <c r="G246" s="4">
        <v>204246</v>
      </c>
      <c r="H246" s="4">
        <f>Table2[[#This Row],[Likes]]+Table2[[#This Row],[Shares]]+Table2[[#This Row],[Comments]]/Table2[[#This Row],[Impressions]]</f>
        <v>5303.0023452111673</v>
      </c>
    </row>
    <row r="247" spans="1:8" x14ac:dyDescent="0.35">
      <c r="A247" t="s">
        <v>303</v>
      </c>
      <c r="B247" t="s">
        <v>62</v>
      </c>
      <c r="C247" s="3">
        <v>45576</v>
      </c>
      <c r="D247" s="4">
        <v>19447</v>
      </c>
      <c r="E247" s="4">
        <v>1014</v>
      </c>
      <c r="F247" s="4">
        <v>256</v>
      </c>
      <c r="G247" s="4">
        <v>104106</v>
      </c>
      <c r="H247" s="4">
        <f>Table2[[#This Row],[Likes]]+Table2[[#This Row],[Shares]]+Table2[[#This Row],[Comments]]/Table2[[#This Row],[Impressions]]</f>
        <v>20461.002459032141</v>
      </c>
    </row>
    <row r="248" spans="1:8" x14ac:dyDescent="0.35">
      <c r="A248" t="s">
        <v>304</v>
      </c>
      <c r="B248" t="s">
        <v>45</v>
      </c>
      <c r="C248" s="3">
        <v>45531</v>
      </c>
      <c r="D248" s="4">
        <v>6324</v>
      </c>
      <c r="E248" s="4">
        <v>908</v>
      </c>
      <c r="F248" s="4">
        <v>375</v>
      </c>
      <c r="G248" s="4">
        <v>241039</v>
      </c>
      <c r="H248" s="4">
        <f>Table2[[#This Row],[Likes]]+Table2[[#This Row],[Shares]]+Table2[[#This Row],[Comments]]/Table2[[#This Row],[Impressions]]</f>
        <v>7232.0015557648348</v>
      </c>
    </row>
    <row r="249" spans="1:8" x14ac:dyDescent="0.35">
      <c r="A249" t="s">
        <v>305</v>
      </c>
      <c r="B249" t="s">
        <v>45</v>
      </c>
      <c r="C249" s="3">
        <v>45914</v>
      </c>
      <c r="D249" s="4">
        <v>12787</v>
      </c>
      <c r="E249" s="4">
        <v>945</v>
      </c>
      <c r="F249" s="4">
        <v>974</v>
      </c>
      <c r="G249" s="4">
        <v>99182</v>
      </c>
      <c r="H249" s="4">
        <f>Table2[[#This Row],[Likes]]+Table2[[#This Row],[Shares]]+Table2[[#This Row],[Comments]]/Table2[[#This Row],[Impressions]]</f>
        <v>13732.009820330302</v>
      </c>
    </row>
    <row r="250" spans="1:8" x14ac:dyDescent="0.35">
      <c r="A250" t="s">
        <v>306</v>
      </c>
      <c r="B250" t="s">
        <v>45</v>
      </c>
      <c r="C250" s="3">
        <v>45491</v>
      </c>
      <c r="D250" s="4">
        <v>11111</v>
      </c>
      <c r="E250" s="4">
        <v>1222</v>
      </c>
      <c r="F250" s="4">
        <v>367</v>
      </c>
      <c r="G250" s="4">
        <v>127163</v>
      </c>
      <c r="H250" s="4">
        <f>Table2[[#This Row],[Likes]]+Table2[[#This Row],[Shares]]+Table2[[#This Row],[Comments]]/Table2[[#This Row],[Impressions]]</f>
        <v>12333.002886059625</v>
      </c>
    </row>
    <row r="251" spans="1:8" x14ac:dyDescent="0.35">
      <c r="A251" t="s">
        <v>307</v>
      </c>
      <c r="B251" t="s">
        <v>36</v>
      </c>
      <c r="C251" s="3">
        <v>45465</v>
      </c>
      <c r="D251" s="4">
        <v>7342</v>
      </c>
      <c r="E251" s="4">
        <v>906</v>
      </c>
      <c r="F251" s="4">
        <v>902</v>
      </c>
      <c r="G251" s="4">
        <v>79310</v>
      </c>
      <c r="H251" s="4">
        <f>Table2[[#This Row],[Likes]]+Table2[[#This Row],[Shares]]+Table2[[#This Row],[Comments]]/Table2[[#This Row],[Impressions]]</f>
        <v>8248.0113730929261</v>
      </c>
    </row>
    <row r="252" spans="1:8" x14ac:dyDescent="0.35">
      <c r="A252" t="s">
        <v>308</v>
      </c>
      <c r="B252" t="s">
        <v>62</v>
      </c>
      <c r="C252" s="3">
        <v>45915</v>
      </c>
      <c r="D252" s="4">
        <v>18389</v>
      </c>
      <c r="E252" s="4">
        <v>670</v>
      </c>
      <c r="F252" s="4">
        <v>655</v>
      </c>
      <c r="G252" s="4">
        <v>96088</v>
      </c>
      <c r="H252" s="4">
        <f>Table2[[#This Row],[Likes]]+Table2[[#This Row],[Shares]]+Table2[[#This Row],[Comments]]/Table2[[#This Row],[Impressions]]</f>
        <v>19059.006816668054</v>
      </c>
    </row>
    <row r="253" spans="1:8" x14ac:dyDescent="0.35">
      <c r="A253" t="s">
        <v>309</v>
      </c>
      <c r="B253" t="s">
        <v>45</v>
      </c>
      <c r="C253" s="3">
        <v>45775</v>
      </c>
      <c r="D253" s="4">
        <v>10659</v>
      </c>
      <c r="E253" s="4">
        <v>1342</v>
      </c>
      <c r="F253" s="4">
        <v>408</v>
      </c>
      <c r="G253" s="4">
        <v>168803</v>
      </c>
      <c r="H253" s="4">
        <f>Table2[[#This Row],[Likes]]+Table2[[#This Row],[Shares]]+Table2[[#This Row],[Comments]]/Table2[[#This Row],[Impressions]]</f>
        <v>12001.002417018655</v>
      </c>
    </row>
    <row r="254" spans="1:8" x14ac:dyDescent="0.35">
      <c r="A254" t="s">
        <v>310</v>
      </c>
      <c r="B254" t="s">
        <v>41</v>
      </c>
      <c r="C254" s="3">
        <v>45916</v>
      </c>
      <c r="D254" s="4">
        <v>16043</v>
      </c>
      <c r="E254" s="4">
        <v>595</v>
      </c>
      <c r="F254" s="4">
        <v>923</v>
      </c>
      <c r="G254" s="4">
        <v>179978</v>
      </c>
      <c r="H254" s="4">
        <f>Table2[[#This Row],[Likes]]+Table2[[#This Row],[Shares]]+Table2[[#This Row],[Comments]]/Table2[[#This Row],[Impressions]]</f>
        <v>16638.005128404584</v>
      </c>
    </row>
    <row r="255" spans="1:8" x14ac:dyDescent="0.35">
      <c r="A255" t="s">
        <v>311</v>
      </c>
      <c r="B255" t="s">
        <v>45</v>
      </c>
      <c r="C255" s="3">
        <v>45671</v>
      </c>
      <c r="D255" s="4">
        <v>24350</v>
      </c>
      <c r="E255" s="4">
        <v>460</v>
      </c>
      <c r="F255" s="4">
        <v>666</v>
      </c>
      <c r="G255" s="4">
        <v>76914</v>
      </c>
      <c r="H255" s="4">
        <f>Table2[[#This Row],[Likes]]+Table2[[#This Row],[Shares]]+Table2[[#This Row],[Comments]]/Table2[[#This Row],[Impressions]]</f>
        <v>24810.008659021765</v>
      </c>
    </row>
    <row r="256" spans="1:8" x14ac:dyDescent="0.35">
      <c r="A256" t="s">
        <v>312</v>
      </c>
      <c r="B256" t="s">
        <v>45</v>
      </c>
      <c r="C256" s="3">
        <v>45750</v>
      </c>
      <c r="D256" s="4">
        <v>10837</v>
      </c>
      <c r="E256" s="4">
        <v>1004</v>
      </c>
      <c r="F256" s="4">
        <v>922</v>
      </c>
      <c r="G256" s="4">
        <v>150350</v>
      </c>
      <c r="H256" s="4">
        <f>Table2[[#This Row],[Likes]]+Table2[[#This Row],[Shares]]+Table2[[#This Row],[Comments]]/Table2[[#This Row],[Impressions]]</f>
        <v>11841.006132357832</v>
      </c>
    </row>
    <row r="257" spans="1:8" x14ac:dyDescent="0.35">
      <c r="A257" t="s">
        <v>313</v>
      </c>
      <c r="B257" t="s">
        <v>36</v>
      </c>
      <c r="C257" s="3">
        <v>45917</v>
      </c>
      <c r="D257" s="4">
        <v>2117</v>
      </c>
      <c r="E257" s="4">
        <v>1133</v>
      </c>
      <c r="F257" s="4">
        <v>203</v>
      </c>
      <c r="G257" s="4">
        <v>85379</v>
      </c>
      <c r="H257" s="4">
        <f>Table2[[#This Row],[Likes]]+Table2[[#This Row],[Shares]]+Table2[[#This Row],[Comments]]/Table2[[#This Row],[Impressions]]</f>
        <v>3250.0023776338444</v>
      </c>
    </row>
    <row r="258" spans="1:8" x14ac:dyDescent="0.35">
      <c r="A258" t="s">
        <v>314</v>
      </c>
      <c r="B258" t="s">
        <v>36</v>
      </c>
      <c r="C258" s="3">
        <v>45753</v>
      </c>
      <c r="D258" s="4">
        <v>15917</v>
      </c>
      <c r="E258" s="4">
        <v>1479</v>
      </c>
      <c r="F258" s="4">
        <v>196</v>
      </c>
      <c r="G258" s="4">
        <v>249684</v>
      </c>
      <c r="H258" s="4">
        <f>Table2[[#This Row],[Likes]]+Table2[[#This Row],[Shares]]+Table2[[#This Row],[Comments]]/Table2[[#This Row],[Impressions]]</f>
        <v>17396.000784992229</v>
      </c>
    </row>
    <row r="259" spans="1:8" x14ac:dyDescent="0.35">
      <c r="A259" t="s">
        <v>315</v>
      </c>
      <c r="B259" t="s">
        <v>62</v>
      </c>
      <c r="C259" s="3">
        <v>45509</v>
      </c>
      <c r="D259" s="4">
        <v>20935</v>
      </c>
      <c r="E259" s="4">
        <v>1104</v>
      </c>
      <c r="F259" s="4">
        <v>876</v>
      </c>
      <c r="G259" s="4">
        <v>208722</v>
      </c>
      <c r="H259" s="4">
        <f>Table2[[#This Row],[Likes]]+Table2[[#This Row],[Shares]]+Table2[[#This Row],[Comments]]/Table2[[#This Row],[Impressions]]</f>
        <v>22039.004196970134</v>
      </c>
    </row>
    <row r="260" spans="1:8" x14ac:dyDescent="0.35">
      <c r="A260" t="s">
        <v>316</v>
      </c>
      <c r="B260" t="s">
        <v>41</v>
      </c>
      <c r="C260" s="3">
        <v>45698</v>
      </c>
      <c r="D260" s="4">
        <v>16309</v>
      </c>
      <c r="E260" s="4">
        <v>1449</v>
      </c>
      <c r="F260" s="4">
        <v>838</v>
      </c>
      <c r="G260" s="4">
        <v>217953</v>
      </c>
      <c r="H260" s="4">
        <f>Table2[[#This Row],[Likes]]+Table2[[#This Row],[Shares]]+Table2[[#This Row],[Comments]]/Table2[[#This Row],[Impressions]]</f>
        <v>17758.003844865638</v>
      </c>
    </row>
    <row r="261" spans="1:8" x14ac:dyDescent="0.35">
      <c r="A261" t="s">
        <v>317</v>
      </c>
      <c r="B261" t="s">
        <v>36</v>
      </c>
      <c r="C261" s="3">
        <v>45700</v>
      </c>
      <c r="D261" s="4">
        <v>15234</v>
      </c>
      <c r="E261" s="4">
        <v>1276</v>
      </c>
      <c r="F261" s="4">
        <v>670</v>
      </c>
      <c r="G261" s="4">
        <v>86413</v>
      </c>
      <c r="H261" s="4">
        <f>Table2[[#This Row],[Likes]]+Table2[[#This Row],[Shares]]+Table2[[#This Row],[Comments]]/Table2[[#This Row],[Impressions]]</f>
        <v>16510.007753463022</v>
      </c>
    </row>
    <row r="262" spans="1:8" x14ac:dyDescent="0.35">
      <c r="A262" t="s">
        <v>318</v>
      </c>
      <c r="B262" t="s">
        <v>45</v>
      </c>
      <c r="C262" s="3">
        <v>45592</v>
      </c>
      <c r="D262" s="4">
        <v>7560</v>
      </c>
      <c r="E262" s="4">
        <v>1139</v>
      </c>
      <c r="F262" s="4">
        <v>248</v>
      </c>
      <c r="G262" s="4">
        <v>177084</v>
      </c>
      <c r="H262" s="4">
        <f>Table2[[#This Row],[Likes]]+Table2[[#This Row],[Shares]]+Table2[[#This Row],[Comments]]/Table2[[#This Row],[Impressions]]</f>
        <v>8699.0014004653167</v>
      </c>
    </row>
    <row r="263" spans="1:8" x14ac:dyDescent="0.35">
      <c r="A263" t="s">
        <v>319</v>
      </c>
      <c r="B263" t="s">
        <v>62</v>
      </c>
      <c r="C263" s="3">
        <v>45675</v>
      </c>
      <c r="D263" s="4">
        <v>22673</v>
      </c>
      <c r="E263" s="4">
        <v>1053</v>
      </c>
      <c r="F263" s="4">
        <v>169</v>
      </c>
      <c r="G263" s="4">
        <v>221187</v>
      </c>
      <c r="H263" s="4">
        <f>Table2[[#This Row],[Likes]]+Table2[[#This Row],[Shares]]+Table2[[#This Row],[Comments]]/Table2[[#This Row],[Impressions]]</f>
        <v>23726.000764059372</v>
      </c>
    </row>
    <row r="264" spans="1:8" x14ac:dyDescent="0.35">
      <c r="A264" t="s">
        <v>320</v>
      </c>
      <c r="B264" t="s">
        <v>45</v>
      </c>
      <c r="C264" s="3">
        <v>45524</v>
      </c>
      <c r="D264" s="4">
        <v>2846</v>
      </c>
      <c r="E264" s="4">
        <v>792</v>
      </c>
      <c r="F264" s="4">
        <v>902</v>
      </c>
      <c r="G264" s="4">
        <v>47151</v>
      </c>
      <c r="H264" s="4">
        <f>Table2[[#This Row],[Likes]]+Table2[[#This Row],[Shares]]+Table2[[#This Row],[Comments]]/Table2[[#This Row],[Impressions]]</f>
        <v>3638.0191300290558</v>
      </c>
    </row>
    <row r="265" spans="1:8" x14ac:dyDescent="0.35">
      <c r="A265" t="s">
        <v>321</v>
      </c>
      <c r="B265" t="s">
        <v>45</v>
      </c>
      <c r="C265" s="3">
        <v>45687</v>
      </c>
      <c r="D265" s="4">
        <v>12954</v>
      </c>
      <c r="E265" s="4">
        <v>913</v>
      </c>
      <c r="F265" s="4">
        <v>722</v>
      </c>
      <c r="G265" s="4">
        <v>97716</v>
      </c>
      <c r="H265" s="4">
        <f>Table2[[#This Row],[Likes]]+Table2[[#This Row],[Shares]]+Table2[[#This Row],[Comments]]/Table2[[#This Row],[Impressions]]</f>
        <v>13867.007388759261</v>
      </c>
    </row>
    <row r="266" spans="1:8" x14ac:dyDescent="0.35">
      <c r="A266" t="s">
        <v>322</v>
      </c>
      <c r="B266" t="s">
        <v>36</v>
      </c>
      <c r="C266" s="3">
        <v>45708</v>
      </c>
      <c r="D266" s="4">
        <v>15703</v>
      </c>
      <c r="E266" s="4">
        <v>1381</v>
      </c>
      <c r="F266" s="4">
        <v>639</v>
      </c>
      <c r="G266" s="4">
        <v>133747</v>
      </c>
      <c r="H266" s="4">
        <f>Table2[[#This Row],[Likes]]+Table2[[#This Row],[Shares]]+Table2[[#This Row],[Comments]]/Table2[[#This Row],[Impressions]]</f>
        <v>17084.004777677255</v>
      </c>
    </row>
    <row r="267" spans="1:8" x14ac:dyDescent="0.35">
      <c r="A267" t="s">
        <v>323</v>
      </c>
      <c r="B267" t="s">
        <v>62</v>
      </c>
      <c r="C267" s="3">
        <v>45621</v>
      </c>
      <c r="D267" s="4">
        <v>17385</v>
      </c>
      <c r="E267" s="4">
        <v>831</v>
      </c>
      <c r="F267" s="4">
        <v>568</v>
      </c>
      <c r="G267" s="4">
        <v>207450</v>
      </c>
      <c r="H267" s="4">
        <f>Table2[[#This Row],[Likes]]+Table2[[#This Row],[Shares]]+Table2[[#This Row],[Comments]]/Table2[[#This Row],[Impressions]]</f>
        <v>18216.00273800916</v>
      </c>
    </row>
    <row r="268" spans="1:8" x14ac:dyDescent="0.35">
      <c r="A268" t="s">
        <v>324</v>
      </c>
      <c r="B268" t="s">
        <v>41</v>
      </c>
      <c r="C268" s="3">
        <v>45569</v>
      </c>
      <c r="D268" s="4">
        <v>15746</v>
      </c>
      <c r="E268" s="4">
        <v>258</v>
      </c>
      <c r="F268" s="4">
        <v>839</v>
      </c>
      <c r="G268" s="4">
        <v>213724</v>
      </c>
      <c r="H268" s="4">
        <f>Table2[[#This Row],[Likes]]+Table2[[#This Row],[Shares]]+Table2[[#This Row],[Comments]]/Table2[[#This Row],[Impressions]]</f>
        <v>16004.003925623701</v>
      </c>
    </row>
    <row r="269" spans="1:8" x14ac:dyDescent="0.35">
      <c r="A269" t="s">
        <v>325</v>
      </c>
      <c r="B269" t="s">
        <v>41</v>
      </c>
      <c r="C269" s="3">
        <v>45760</v>
      </c>
      <c r="D269" s="4">
        <v>24700</v>
      </c>
      <c r="E269" s="4">
        <v>327</v>
      </c>
      <c r="F269" s="4">
        <v>999</v>
      </c>
      <c r="G269" s="4">
        <v>243502</v>
      </c>
      <c r="H269" s="4">
        <f>Table2[[#This Row],[Likes]]+Table2[[#This Row],[Shares]]+Table2[[#This Row],[Comments]]/Table2[[#This Row],[Impressions]]</f>
        <v>25027.004102635707</v>
      </c>
    </row>
    <row r="270" spans="1:8" x14ac:dyDescent="0.35">
      <c r="A270" t="s">
        <v>326</v>
      </c>
      <c r="B270" t="s">
        <v>36</v>
      </c>
      <c r="C270" s="3">
        <v>45601</v>
      </c>
      <c r="D270" s="4">
        <v>8469</v>
      </c>
      <c r="E270" s="4">
        <v>935</v>
      </c>
      <c r="F270" s="4">
        <v>211</v>
      </c>
      <c r="G270" s="4">
        <v>184539</v>
      </c>
      <c r="H270" s="4">
        <f>Table2[[#This Row],[Likes]]+Table2[[#This Row],[Shares]]+Table2[[#This Row],[Comments]]/Table2[[#This Row],[Impressions]]</f>
        <v>9404.0011433897434</v>
      </c>
    </row>
    <row r="271" spans="1:8" x14ac:dyDescent="0.35">
      <c r="A271" t="s">
        <v>327</v>
      </c>
      <c r="B271" t="s">
        <v>36</v>
      </c>
      <c r="C271" s="3">
        <v>45672</v>
      </c>
      <c r="D271" s="4">
        <v>11333</v>
      </c>
      <c r="E271" s="4">
        <v>920</v>
      </c>
      <c r="F271" s="4">
        <v>294</v>
      </c>
      <c r="G271" s="4">
        <v>202082</v>
      </c>
      <c r="H271" s="4">
        <f>Table2[[#This Row],[Likes]]+Table2[[#This Row],[Shares]]+Table2[[#This Row],[Comments]]/Table2[[#This Row],[Impressions]]</f>
        <v>12253.001454854961</v>
      </c>
    </row>
    <row r="272" spans="1:8" x14ac:dyDescent="0.35">
      <c r="A272" t="s">
        <v>328</v>
      </c>
      <c r="B272" t="s">
        <v>62</v>
      </c>
      <c r="C272" s="3">
        <v>45582</v>
      </c>
      <c r="D272" s="4">
        <v>18608</v>
      </c>
      <c r="E272" s="4">
        <v>1338</v>
      </c>
      <c r="F272" s="4">
        <v>365</v>
      </c>
      <c r="G272" s="4">
        <v>161999</v>
      </c>
      <c r="H272" s="4">
        <f>Table2[[#This Row],[Likes]]+Table2[[#This Row],[Shares]]+Table2[[#This Row],[Comments]]/Table2[[#This Row],[Impressions]]</f>
        <v>19946.002253100327</v>
      </c>
    </row>
    <row r="273" spans="1:8" x14ac:dyDescent="0.35">
      <c r="A273" t="s">
        <v>329</v>
      </c>
      <c r="B273" t="s">
        <v>41</v>
      </c>
      <c r="C273" s="3">
        <v>45743</v>
      </c>
      <c r="D273" s="4">
        <v>14819</v>
      </c>
      <c r="E273" s="4">
        <v>1432</v>
      </c>
      <c r="F273" s="4">
        <v>152</v>
      </c>
      <c r="G273" s="4">
        <v>154793</v>
      </c>
      <c r="H273" s="4">
        <f>Table2[[#This Row],[Likes]]+Table2[[#This Row],[Shares]]+Table2[[#This Row],[Comments]]/Table2[[#This Row],[Impressions]]</f>
        <v>16251.000981956548</v>
      </c>
    </row>
    <row r="274" spans="1:8" x14ac:dyDescent="0.35">
      <c r="A274" t="s">
        <v>330</v>
      </c>
      <c r="B274" t="s">
        <v>41</v>
      </c>
      <c r="C274" s="3">
        <v>45577</v>
      </c>
      <c r="D274" s="4">
        <v>6208</v>
      </c>
      <c r="E274" s="4">
        <v>725</v>
      </c>
      <c r="F274" s="4">
        <v>309</v>
      </c>
      <c r="G274" s="4">
        <v>225763</v>
      </c>
      <c r="H274" s="4">
        <f>Table2[[#This Row],[Likes]]+Table2[[#This Row],[Shares]]+Table2[[#This Row],[Comments]]/Table2[[#This Row],[Impressions]]</f>
        <v>6933.0013686919465</v>
      </c>
    </row>
    <row r="275" spans="1:8" x14ac:dyDescent="0.35">
      <c r="A275" t="s">
        <v>331</v>
      </c>
      <c r="B275" t="s">
        <v>41</v>
      </c>
      <c r="C275" s="3">
        <v>45658</v>
      </c>
      <c r="D275" s="4">
        <v>8283</v>
      </c>
      <c r="E275" s="4">
        <v>720</v>
      </c>
      <c r="F275" s="4">
        <v>888</v>
      </c>
      <c r="G275" s="4">
        <v>235229</v>
      </c>
      <c r="H275" s="4">
        <f>Table2[[#This Row],[Likes]]+Table2[[#This Row],[Shares]]+Table2[[#This Row],[Comments]]/Table2[[#This Row],[Impressions]]</f>
        <v>9003.0037750447427</v>
      </c>
    </row>
    <row r="276" spans="1:8" x14ac:dyDescent="0.35">
      <c r="A276" t="s">
        <v>332</v>
      </c>
      <c r="B276" t="s">
        <v>45</v>
      </c>
      <c r="C276" s="3">
        <v>45509</v>
      </c>
      <c r="D276" s="4">
        <v>4048</v>
      </c>
      <c r="E276" s="4">
        <v>751</v>
      </c>
      <c r="F276" s="4">
        <v>930</v>
      </c>
      <c r="G276" s="4">
        <v>148177</v>
      </c>
      <c r="H276" s="4">
        <f>Table2[[#This Row],[Likes]]+Table2[[#This Row],[Shares]]+Table2[[#This Row],[Comments]]/Table2[[#This Row],[Impressions]]</f>
        <v>4799.0062762776952</v>
      </c>
    </row>
    <row r="277" spans="1:8" x14ac:dyDescent="0.35">
      <c r="A277" t="s">
        <v>333</v>
      </c>
      <c r="B277" t="s">
        <v>41</v>
      </c>
      <c r="C277" s="3">
        <v>45450</v>
      </c>
      <c r="D277" s="4">
        <v>8233</v>
      </c>
      <c r="E277" s="4">
        <v>436</v>
      </c>
      <c r="F277" s="4">
        <v>269</v>
      </c>
      <c r="G277" s="4">
        <v>52289</v>
      </c>
      <c r="H277" s="4">
        <f>Table2[[#This Row],[Likes]]+Table2[[#This Row],[Shares]]+Table2[[#This Row],[Comments]]/Table2[[#This Row],[Impressions]]</f>
        <v>8669.0051444854562</v>
      </c>
    </row>
    <row r="278" spans="1:8" x14ac:dyDescent="0.35">
      <c r="A278" t="s">
        <v>334</v>
      </c>
      <c r="B278" t="s">
        <v>45</v>
      </c>
      <c r="C278" s="3">
        <v>45753</v>
      </c>
      <c r="D278" s="4">
        <v>14941</v>
      </c>
      <c r="E278" s="4">
        <v>1424</v>
      </c>
      <c r="F278" s="4">
        <v>238</v>
      </c>
      <c r="G278" s="4">
        <v>216048</v>
      </c>
      <c r="H278" s="4">
        <f>Table2[[#This Row],[Likes]]+Table2[[#This Row],[Shares]]+Table2[[#This Row],[Comments]]/Table2[[#This Row],[Impressions]]</f>
        <v>16365.001101607051</v>
      </c>
    </row>
    <row r="279" spans="1:8" x14ac:dyDescent="0.35">
      <c r="A279" t="s">
        <v>335</v>
      </c>
      <c r="B279" t="s">
        <v>62</v>
      </c>
      <c r="C279" s="3">
        <v>45622</v>
      </c>
      <c r="D279" s="4">
        <v>14607</v>
      </c>
      <c r="E279" s="4">
        <v>1458</v>
      </c>
      <c r="F279" s="4">
        <v>478</v>
      </c>
      <c r="G279" s="4">
        <v>214668</v>
      </c>
      <c r="H279" s="4">
        <f>Table2[[#This Row],[Likes]]+Table2[[#This Row],[Shares]]+Table2[[#This Row],[Comments]]/Table2[[#This Row],[Impressions]]</f>
        <v>16065.002226694243</v>
      </c>
    </row>
    <row r="280" spans="1:8" x14ac:dyDescent="0.35">
      <c r="A280" t="s">
        <v>336</v>
      </c>
      <c r="B280" t="s">
        <v>45</v>
      </c>
      <c r="C280" s="3">
        <v>45537</v>
      </c>
      <c r="D280" s="4">
        <v>11765</v>
      </c>
      <c r="E280" s="4">
        <v>693</v>
      </c>
      <c r="F280" s="4">
        <v>729</v>
      </c>
      <c r="G280" s="4">
        <v>194243</v>
      </c>
      <c r="H280" s="4">
        <f>Table2[[#This Row],[Likes]]+Table2[[#This Row],[Shares]]+Table2[[#This Row],[Comments]]/Table2[[#This Row],[Impressions]]</f>
        <v>12458.003753030996</v>
      </c>
    </row>
    <row r="281" spans="1:8" x14ac:dyDescent="0.35">
      <c r="A281" t="s">
        <v>337</v>
      </c>
      <c r="B281" t="s">
        <v>62</v>
      </c>
      <c r="C281" s="3">
        <v>45918</v>
      </c>
      <c r="D281" s="4">
        <v>3828</v>
      </c>
      <c r="E281" s="4">
        <v>203</v>
      </c>
      <c r="F281" s="4">
        <v>506</v>
      </c>
      <c r="G281" s="4">
        <v>126365</v>
      </c>
      <c r="H281" s="4">
        <f>Table2[[#This Row],[Likes]]+Table2[[#This Row],[Shares]]+Table2[[#This Row],[Comments]]/Table2[[#This Row],[Impressions]]</f>
        <v>4031.0040042733353</v>
      </c>
    </row>
    <row r="282" spans="1:8" x14ac:dyDescent="0.35">
      <c r="A282" t="s">
        <v>338</v>
      </c>
      <c r="B282" t="s">
        <v>41</v>
      </c>
      <c r="C282" s="3">
        <v>45738</v>
      </c>
      <c r="D282" s="4">
        <v>3917</v>
      </c>
      <c r="E282" s="4">
        <v>865</v>
      </c>
      <c r="F282" s="4">
        <v>759</v>
      </c>
      <c r="G282" s="4">
        <v>154014</v>
      </c>
      <c r="H282" s="4">
        <f>Table2[[#This Row],[Likes]]+Table2[[#This Row],[Shares]]+Table2[[#This Row],[Comments]]/Table2[[#This Row],[Impressions]]</f>
        <v>4782.0049281234169</v>
      </c>
    </row>
    <row r="283" spans="1:8" x14ac:dyDescent="0.35">
      <c r="A283" t="s">
        <v>339</v>
      </c>
      <c r="B283" t="s">
        <v>41</v>
      </c>
      <c r="C283" s="3">
        <v>45568</v>
      </c>
      <c r="D283" s="4">
        <v>22618</v>
      </c>
      <c r="E283" s="4">
        <v>641</v>
      </c>
      <c r="F283" s="4">
        <v>416</v>
      </c>
      <c r="G283" s="4">
        <v>215211</v>
      </c>
      <c r="H283" s="4">
        <f>Table2[[#This Row],[Likes]]+Table2[[#This Row],[Shares]]+Table2[[#This Row],[Comments]]/Table2[[#This Row],[Impressions]]</f>
        <v>23259.001932986695</v>
      </c>
    </row>
    <row r="284" spans="1:8" x14ac:dyDescent="0.35">
      <c r="A284" t="s">
        <v>340</v>
      </c>
      <c r="B284" t="s">
        <v>62</v>
      </c>
      <c r="C284" s="3">
        <v>45786</v>
      </c>
      <c r="D284" s="4">
        <v>8988</v>
      </c>
      <c r="E284" s="4">
        <v>228</v>
      </c>
      <c r="F284" s="4">
        <v>766</v>
      </c>
      <c r="G284" s="4">
        <v>219785</v>
      </c>
      <c r="H284" s="4">
        <f>Table2[[#This Row],[Likes]]+Table2[[#This Row],[Shares]]+Table2[[#This Row],[Comments]]/Table2[[#This Row],[Impressions]]</f>
        <v>9216.003485224197</v>
      </c>
    </row>
    <row r="285" spans="1:8" x14ac:dyDescent="0.35">
      <c r="A285" t="s">
        <v>341</v>
      </c>
      <c r="B285" t="s">
        <v>36</v>
      </c>
      <c r="C285" s="3">
        <v>45552</v>
      </c>
      <c r="D285" s="4">
        <v>20410</v>
      </c>
      <c r="E285" s="4">
        <v>1332</v>
      </c>
      <c r="F285" s="4">
        <v>472</v>
      </c>
      <c r="G285" s="4">
        <v>200806</v>
      </c>
      <c r="H285" s="4">
        <f>Table2[[#This Row],[Likes]]+Table2[[#This Row],[Shares]]+Table2[[#This Row],[Comments]]/Table2[[#This Row],[Impressions]]</f>
        <v>21742.002350527375</v>
      </c>
    </row>
    <row r="286" spans="1:8" x14ac:dyDescent="0.35">
      <c r="A286" t="s">
        <v>342</v>
      </c>
      <c r="B286" t="s">
        <v>62</v>
      </c>
      <c r="C286" s="3">
        <v>45491</v>
      </c>
      <c r="D286" s="4">
        <v>16594</v>
      </c>
      <c r="E286" s="4">
        <v>809</v>
      </c>
      <c r="F286" s="4">
        <v>784</v>
      </c>
      <c r="G286" s="4">
        <v>112588</v>
      </c>
      <c r="H286" s="4">
        <f>Table2[[#This Row],[Likes]]+Table2[[#This Row],[Shares]]+Table2[[#This Row],[Comments]]/Table2[[#This Row],[Impressions]]</f>
        <v>17403.006963441931</v>
      </c>
    </row>
    <row r="287" spans="1:8" x14ac:dyDescent="0.35">
      <c r="A287" t="s">
        <v>343</v>
      </c>
      <c r="B287" t="s">
        <v>36</v>
      </c>
      <c r="C287" s="3">
        <v>45919</v>
      </c>
      <c r="D287" s="4">
        <v>22128</v>
      </c>
      <c r="E287" s="4">
        <v>1004</v>
      </c>
      <c r="F287" s="4">
        <v>690</v>
      </c>
      <c r="G287" s="4">
        <v>103646</v>
      </c>
      <c r="H287" s="4">
        <f>Table2[[#This Row],[Likes]]+Table2[[#This Row],[Shares]]+Table2[[#This Row],[Comments]]/Table2[[#This Row],[Impressions]]</f>
        <v>23132.006657275728</v>
      </c>
    </row>
    <row r="288" spans="1:8" x14ac:dyDescent="0.35">
      <c r="A288" t="s">
        <v>344</v>
      </c>
      <c r="B288" t="s">
        <v>45</v>
      </c>
      <c r="C288" s="3">
        <v>45519</v>
      </c>
      <c r="D288" s="4">
        <v>14977</v>
      </c>
      <c r="E288" s="4">
        <v>274</v>
      </c>
      <c r="F288" s="4">
        <v>798</v>
      </c>
      <c r="G288" s="4">
        <v>43654</v>
      </c>
      <c r="H288" s="4">
        <f>Table2[[#This Row],[Likes]]+Table2[[#This Row],[Shares]]+Table2[[#This Row],[Comments]]/Table2[[#This Row],[Impressions]]</f>
        <v>15251.018280111788</v>
      </c>
    </row>
    <row r="289" spans="1:8" x14ac:dyDescent="0.35">
      <c r="A289" t="s">
        <v>345</v>
      </c>
      <c r="B289" t="s">
        <v>45</v>
      </c>
      <c r="C289" s="3">
        <v>45764</v>
      </c>
      <c r="D289" s="4">
        <v>2009</v>
      </c>
      <c r="E289" s="4">
        <v>1037</v>
      </c>
      <c r="F289" s="4">
        <v>344</v>
      </c>
      <c r="G289" s="4">
        <v>58743</v>
      </c>
      <c r="H289" s="4">
        <f>Table2[[#This Row],[Likes]]+Table2[[#This Row],[Shares]]+Table2[[#This Row],[Comments]]/Table2[[#This Row],[Impressions]]</f>
        <v>3046.0058560168873</v>
      </c>
    </row>
    <row r="290" spans="1:8" x14ac:dyDescent="0.35">
      <c r="A290" t="s">
        <v>346</v>
      </c>
      <c r="B290" t="s">
        <v>45</v>
      </c>
      <c r="C290" s="3">
        <v>45624</v>
      </c>
      <c r="D290" s="4">
        <v>18644</v>
      </c>
      <c r="E290" s="4">
        <v>1369</v>
      </c>
      <c r="F290" s="4">
        <v>887</v>
      </c>
      <c r="G290" s="4">
        <v>88368</v>
      </c>
      <c r="H290" s="4">
        <f>Table2[[#This Row],[Likes]]+Table2[[#This Row],[Shares]]+Table2[[#This Row],[Comments]]/Table2[[#This Row],[Impressions]]</f>
        <v>20013.010037570162</v>
      </c>
    </row>
    <row r="291" spans="1:8" x14ac:dyDescent="0.35">
      <c r="A291" t="s">
        <v>347</v>
      </c>
      <c r="B291" t="s">
        <v>41</v>
      </c>
      <c r="C291" s="3">
        <v>45920</v>
      </c>
      <c r="D291" s="4">
        <v>24422</v>
      </c>
      <c r="E291" s="4">
        <v>327</v>
      </c>
      <c r="F291" s="4">
        <v>481</v>
      </c>
      <c r="G291" s="4">
        <v>245244</v>
      </c>
      <c r="H291" s="4">
        <f>Table2[[#This Row],[Likes]]+Table2[[#This Row],[Shares]]+Table2[[#This Row],[Comments]]/Table2[[#This Row],[Impressions]]</f>
        <v>24749.001961311998</v>
      </c>
    </row>
    <row r="292" spans="1:8" x14ac:dyDescent="0.35">
      <c r="A292" t="s">
        <v>348</v>
      </c>
      <c r="B292" t="s">
        <v>45</v>
      </c>
      <c r="C292" s="3">
        <v>45602</v>
      </c>
      <c r="D292" s="4">
        <v>11865</v>
      </c>
      <c r="E292" s="4">
        <v>241</v>
      </c>
      <c r="F292" s="4">
        <v>319</v>
      </c>
      <c r="G292" s="4">
        <v>177513</v>
      </c>
      <c r="H292" s="4">
        <f>Table2[[#This Row],[Likes]]+Table2[[#This Row],[Shares]]+Table2[[#This Row],[Comments]]/Table2[[#This Row],[Impressions]]</f>
        <v>12106.001797051484</v>
      </c>
    </row>
    <row r="293" spans="1:8" x14ac:dyDescent="0.35">
      <c r="A293" t="s">
        <v>349</v>
      </c>
      <c r="B293" t="s">
        <v>36</v>
      </c>
      <c r="C293" s="3">
        <v>45613</v>
      </c>
      <c r="D293" s="4">
        <v>4219</v>
      </c>
      <c r="E293" s="4">
        <v>240</v>
      </c>
      <c r="F293" s="4">
        <v>670</v>
      </c>
      <c r="G293" s="4">
        <v>159735</v>
      </c>
      <c r="H293" s="4">
        <f>Table2[[#This Row],[Likes]]+Table2[[#This Row],[Shares]]+Table2[[#This Row],[Comments]]/Table2[[#This Row],[Impressions]]</f>
        <v>4459.0041944470531</v>
      </c>
    </row>
    <row r="294" spans="1:8" x14ac:dyDescent="0.35">
      <c r="A294" t="s">
        <v>350</v>
      </c>
      <c r="B294" t="s">
        <v>45</v>
      </c>
      <c r="C294" s="3">
        <v>45791</v>
      </c>
      <c r="D294" s="4">
        <v>9041</v>
      </c>
      <c r="E294" s="4">
        <v>1133</v>
      </c>
      <c r="F294" s="4">
        <v>612</v>
      </c>
      <c r="G294" s="4">
        <v>195683</v>
      </c>
      <c r="H294" s="4">
        <f>Table2[[#This Row],[Likes]]+Table2[[#This Row],[Shares]]+Table2[[#This Row],[Comments]]/Table2[[#This Row],[Impressions]]</f>
        <v>10174.003127507243</v>
      </c>
    </row>
    <row r="295" spans="1:8" x14ac:dyDescent="0.35">
      <c r="A295" t="s">
        <v>351</v>
      </c>
      <c r="B295" t="s">
        <v>62</v>
      </c>
      <c r="C295" s="3">
        <v>45462</v>
      </c>
      <c r="D295" s="4">
        <v>20444</v>
      </c>
      <c r="E295" s="4">
        <v>233</v>
      </c>
      <c r="F295" s="4">
        <v>189</v>
      </c>
      <c r="G295" s="4">
        <v>159891</v>
      </c>
      <c r="H295" s="4">
        <f>Table2[[#This Row],[Likes]]+Table2[[#This Row],[Shares]]+Table2[[#This Row],[Comments]]/Table2[[#This Row],[Impressions]]</f>
        <v>20677.001182055275</v>
      </c>
    </row>
    <row r="296" spans="1:8" x14ac:dyDescent="0.35">
      <c r="A296" t="s">
        <v>352</v>
      </c>
      <c r="B296" t="s">
        <v>62</v>
      </c>
      <c r="C296" s="3">
        <v>45783</v>
      </c>
      <c r="D296" s="4">
        <v>7287</v>
      </c>
      <c r="E296" s="4">
        <v>1240</v>
      </c>
      <c r="F296" s="4">
        <v>686</v>
      </c>
      <c r="G296" s="4">
        <v>147971</v>
      </c>
      <c r="H296" s="4">
        <f>Table2[[#This Row],[Likes]]+Table2[[#This Row],[Shares]]+Table2[[#This Row],[Comments]]/Table2[[#This Row],[Impressions]]</f>
        <v>8527.0046360435499</v>
      </c>
    </row>
    <row r="297" spans="1:8" x14ac:dyDescent="0.35">
      <c r="A297" t="s">
        <v>353</v>
      </c>
      <c r="B297" t="s">
        <v>41</v>
      </c>
      <c r="C297" s="3">
        <v>45699</v>
      </c>
      <c r="D297" s="4">
        <v>3619</v>
      </c>
      <c r="E297" s="4">
        <v>1376</v>
      </c>
      <c r="F297" s="4">
        <v>410</v>
      </c>
      <c r="G297" s="4">
        <v>52149</v>
      </c>
      <c r="H297" s="4">
        <f>Table2[[#This Row],[Likes]]+Table2[[#This Row],[Shares]]+Table2[[#This Row],[Comments]]/Table2[[#This Row],[Impressions]]</f>
        <v>4995.0078620874801</v>
      </c>
    </row>
    <row r="298" spans="1:8" x14ac:dyDescent="0.35">
      <c r="A298" t="s">
        <v>354</v>
      </c>
      <c r="B298" t="s">
        <v>62</v>
      </c>
      <c r="C298" s="3">
        <v>45650</v>
      </c>
      <c r="D298" s="4">
        <v>10512</v>
      </c>
      <c r="E298" s="4">
        <v>1197</v>
      </c>
      <c r="F298" s="4">
        <v>544</v>
      </c>
      <c r="G298" s="4">
        <v>140102</v>
      </c>
      <c r="H298" s="4">
        <f>Table2[[#This Row],[Likes]]+Table2[[#This Row],[Shares]]+Table2[[#This Row],[Comments]]/Table2[[#This Row],[Impressions]]</f>
        <v>11709.003882885327</v>
      </c>
    </row>
    <row r="299" spans="1:8" x14ac:dyDescent="0.35">
      <c r="A299" t="s">
        <v>355</v>
      </c>
      <c r="B299" t="s">
        <v>36</v>
      </c>
      <c r="C299" s="3">
        <v>45924</v>
      </c>
      <c r="D299" s="4">
        <v>3342</v>
      </c>
      <c r="E299" s="4">
        <v>787</v>
      </c>
      <c r="F299" s="4">
        <v>375</v>
      </c>
      <c r="G299" s="4">
        <v>99189</v>
      </c>
      <c r="H299" s="4">
        <f>Table2[[#This Row],[Likes]]+Table2[[#This Row],[Shares]]+Table2[[#This Row],[Comments]]/Table2[[#This Row],[Impressions]]</f>
        <v>4129.0037806611617</v>
      </c>
    </row>
    <row r="300" spans="1:8" x14ac:dyDescent="0.35">
      <c r="A300" t="s">
        <v>356</v>
      </c>
      <c r="B300" t="s">
        <v>45</v>
      </c>
      <c r="C300" s="3">
        <v>45925</v>
      </c>
      <c r="D300" s="4">
        <v>12568</v>
      </c>
      <c r="E300" s="4">
        <v>541</v>
      </c>
      <c r="F300" s="4">
        <v>273</v>
      </c>
      <c r="G300" s="4">
        <v>192747</v>
      </c>
      <c r="H300" s="4">
        <f>Table2[[#This Row],[Likes]]+Table2[[#This Row],[Shares]]+Table2[[#This Row],[Comments]]/Table2[[#This Row],[Impressions]]</f>
        <v>13109.001416364457</v>
      </c>
    </row>
    <row r="301" spans="1:8" x14ac:dyDescent="0.35">
      <c r="A301" t="s">
        <v>357</v>
      </c>
      <c r="B301" t="s">
        <v>41</v>
      </c>
      <c r="C301" s="3">
        <v>45926</v>
      </c>
      <c r="D301" s="4">
        <v>21216</v>
      </c>
      <c r="E301" s="4">
        <v>226</v>
      </c>
      <c r="F301" s="4">
        <v>187</v>
      </c>
      <c r="G301" s="4">
        <v>111031</v>
      </c>
      <c r="H301" s="4">
        <f>Table2[[#This Row],[Likes]]+Table2[[#This Row],[Shares]]+Table2[[#This Row],[Comments]]/Table2[[#This Row],[Impressions]]</f>
        <v>21442.00168421432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BC328-142C-4E5C-9DC5-87E7E9C18300}">
  <dimension ref="A1:E301"/>
  <sheetViews>
    <sheetView workbookViewId="0">
      <selection activeCell="E140" sqref="E140"/>
    </sheetView>
  </sheetViews>
  <sheetFormatPr defaultRowHeight="14.5" x14ac:dyDescent="0.35"/>
  <cols>
    <col min="1" max="1" width="9.1796875" bestFit="1" customWidth="1"/>
    <col min="2" max="2" width="16.08984375" style="4" bestFit="1" customWidth="1"/>
    <col min="5" max="5" width="40.7265625" bestFit="1" customWidth="1"/>
  </cols>
  <sheetData>
    <row r="1" spans="1:2" x14ac:dyDescent="0.35">
      <c r="A1" t="s">
        <v>23</v>
      </c>
      <c r="B1" s="4" t="s">
        <v>358</v>
      </c>
    </row>
    <row r="2" spans="1:2" x14ac:dyDescent="0.35">
      <c r="A2" t="s">
        <v>35</v>
      </c>
      <c r="B2" s="4">
        <f>Table2[[#This Row],[Likes]]+Table2[[#This Row],[Shares]]+Table2[[#This Row],[Comments]]/Table2[[#This Row],[Impressions]]</f>
        <v>25492.004799637318</v>
      </c>
    </row>
    <row r="3" spans="1:2" hidden="1" x14ac:dyDescent="0.35">
      <c r="A3" t="s">
        <v>40</v>
      </c>
      <c r="B3" s="4">
        <f>Table2[[#This Row],[Likes]]+Table2[[#This Row],[Shares]]+Table2[[#This Row],[Comments]]/Table2[[#This Row],[Impressions]]</f>
        <v>5889.0060906614517</v>
      </c>
    </row>
    <row r="4" spans="1:2" hidden="1" x14ac:dyDescent="0.35">
      <c r="A4" t="s">
        <v>44</v>
      </c>
      <c r="B4" s="4">
        <f>Table2[[#This Row],[Likes]]+Table2[[#This Row],[Shares]]+Table2[[#This Row],[Comments]]/Table2[[#This Row],[Impressions]]</f>
        <v>20626.004117314991</v>
      </c>
    </row>
    <row r="5" spans="1:2" hidden="1" x14ac:dyDescent="0.35">
      <c r="A5" t="s">
        <v>49</v>
      </c>
      <c r="B5" s="4">
        <f>Table2[[#This Row],[Likes]]+Table2[[#This Row],[Shares]]+Table2[[#This Row],[Comments]]/Table2[[#This Row],[Impressions]]</f>
        <v>4098.0035396663861</v>
      </c>
    </row>
    <row r="6" spans="1:2" hidden="1" x14ac:dyDescent="0.35">
      <c r="A6" t="s">
        <v>53</v>
      </c>
      <c r="B6" s="4">
        <f>Table2[[#This Row],[Likes]]+Table2[[#This Row],[Shares]]+Table2[[#This Row],[Comments]]/Table2[[#This Row],[Impressions]]</f>
        <v>22143.003792546511</v>
      </c>
    </row>
    <row r="7" spans="1:2" hidden="1" x14ac:dyDescent="0.35">
      <c r="A7" t="s">
        <v>54</v>
      </c>
      <c r="B7" s="4">
        <f>Table2[[#This Row],[Likes]]+Table2[[#This Row],[Shares]]+Table2[[#This Row],[Comments]]/Table2[[#This Row],[Impressions]]</f>
        <v>15210.011335464022</v>
      </c>
    </row>
    <row r="8" spans="1:2" hidden="1" x14ac:dyDescent="0.35">
      <c r="A8" t="s">
        <v>55</v>
      </c>
      <c r="B8" s="4">
        <f>Table2[[#This Row],[Likes]]+Table2[[#This Row],[Shares]]+Table2[[#This Row],[Comments]]/Table2[[#This Row],[Impressions]]</f>
        <v>8288.0063165548272</v>
      </c>
    </row>
    <row r="9" spans="1:2" hidden="1" x14ac:dyDescent="0.35">
      <c r="A9" t="s">
        <v>58</v>
      </c>
      <c r="B9" s="4">
        <f>Table2[[#This Row],[Likes]]+Table2[[#This Row],[Shares]]+Table2[[#This Row],[Comments]]/Table2[[#This Row],[Impressions]]</f>
        <v>19999.003624197368</v>
      </c>
    </row>
    <row r="10" spans="1:2" hidden="1" x14ac:dyDescent="0.35">
      <c r="A10" t="s">
        <v>60</v>
      </c>
      <c r="B10" s="4">
        <f>Table2[[#This Row],[Likes]]+Table2[[#This Row],[Shares]]+Table2[[#This Row],[Comments]]/Table2[[#This Row],[Impressions]]</f>
        <v>7591.0058903186236</v>
      </c>
    </row>
    <row r="11" spans="1:2" hidden="1" x14ac:dyDescent="0.35">
      <c r="A11" t="s">
        <v>61</v>
      </c>
      <c r="B11" s="4">
        <f>Table2[[#This Row],[Likes]]+Table2[[#This Row],[Shares]]+Table2[[#This Row],[Comments]]/Table2[[#This Row],[Impressions]]</f>
        <v>20934.002790843813</v>
      </c>
    </row>
    <row r="12" spans="1:2" hidden="1" x14ac:dyDescent="0.35">
      <c r="A12" t="s">
        <v>64</v>
      </c>
      <c r="B12" s="4">
        <f>Table2[[#This Row],[Likes]]+Table2[[#This Row],[Shares]]+Table2[[#This Row],[Comments]]/Table2[[#This Row],[Impressions]]</f>
        <v>13253.004550588466</v>
      </c>
    </row>
    <row r="13" spans="1:2" hidden="1" x14ac:dyDescent="0.35">
      <c r="A13" t="s">
        <v>65</v>
      </c>
      <c r="B13" s="4">
        <f>Table2[[#This Row],[Likes]]+Table2[[#This Row],[Shares]]+Table2[[#This Row],[Comments]]/Table2[[#This Row],[Impressions]]</f>
        <v>3081.007922104111</v>
      </c>
    </row>
    <row r="14" spans="1:2" hidden="1" x14ac:dyDescent="0.35">
      <c r="A14" t="s">
        <v>66</v>
      </c>
      <c r="B14" s="4">
        <f>Table2[[#This Row],[Likes]]+Table2[[#This Row],[Shares]]+Table2[[#This Row],[Comments]]/Table2[[#This Row],[Impressions]]</f>
        <v>22707.010817266088</v>
      </c>
    </row>
    <row r="15" spans="1:2" hidden="1" x14ac:dyDescent="0.35">
      <c r="A15" t="s">
        <v>68</v>
      </c>
      <c r="B15" s="4">
        <f>Table2[[#This Row],[Likes]]+Table2[[#This Row],[Shares]]+Table2[[#This Row],[Comments]]/Table2[[#This Row],[Impressions]]</f>
        <v>7593.0039341139918</v>
      </c>
    </row>
    <row r="16" spans="1:2" hidden="1" x14ac:dyDescent="0.35">
      <c r="A16" t="s">
        <v>69</v>
      </c>
      <c r="B16" s="4">
        <f>Table2[[#This Row],[Likes]]+Table2[[#This Row],[Shares]]+Table2[[#This Row],[Comments]]/Table2[[#This Row],[Impressions]]</f>
        <v>4012.009522188036</v>
      </c>
    </row>
    <row r="17" spans="1:2" hidden="1" x14ac:dyDescent="0.35">
      <c r="A17" t="s">
        <v>70</v>
      </c>
      <c r="B17" s="4">
        <f>Table2[[#This Row],[Likes]]+Table2[[#This Row],[Shares]]+Table2[[#This Row],[Comments]]/Table2[[#This Row],[Impressions]]</f>
        <v>5117.0055822253107</v>
      </c>
    </row>
    <row r="18" spans="1:2" hidden="1" x14ac:dyDescent="0.35">
      <c r="A18" t="s">
        <v>71</v>
      </c>
      <c r="B18" s="4">
        <f>Table2[[#This Row],[Likes]]+Table2[[#This Row],[Shares]]+Table2[[#This Row],[Comments]]/Table2[[#This Row],[Impressions]]</f>
        <v>11803.00430862855</v>
      </c>
    </row>
    <row r="19" spans="1:2" hidden="1" x14ac:dyDescent="0.35">
      <c r="A19" t="s">
        <v>73</v>
      </c>
      <c r="B19" s="4">
        <f>Table2[[#This Row],[Likes]]+Table2[[#This Row],[Shares]]+Table2[[#This Row],[Comments]]/Table2[[#This Row],[Impressions]]</f>
        <v>15754.001271441331</v>
      </c>
    </row>
    <row r="20" spans="1:2" hidden="1" x14ac:dyDescent="0.35">
      <c r="A20" t="s">
        <v>74</v>
      </c>
      <c r="B20" s="4">
        <f>Table2[[#This Row],[Likes]]+Table2[[#This Row],[Shares]]+Table2[[#This Row],[Comments]]/Table2[[#This Row],[Impressions]]</f>
        <v>17562.005831726754</v>
      </c>
    </row>
    <row r="21" spans="1:2" hidden="1" x14ac:dyDescent="0.35">
      <c r="A21" t="s">
        <v>75</v>
      </c>
      <c r="B21" s="4">
        <f>Table2[[#This Row],[Likes]]+Table2[[#This Row],[Shares]]+Table2[[#This Row],[Comments]]/Table2[[#This Row],[Impressions]]</f>
        <v>6435.0041000016017</v>
      </c>
    </row>
    <row r="22" spans="1:2" hidden="1" x14ac:dyDescent="0.35">
      <c r="A22" t="s">
        <v>76</v>
      </c>
      <c r="B22" s="4">
        <f>Table2[[#This Row],[Likes]]+Table2[[#This Row],[Shares]]+Table2[[#This Row],[Comments]]/Table2[[#This Row],[Impressions]]</f>
        <v>23082.008799043851</v>
      </c>
    </row>
    <row r="23" spans="1:2" hidden="1" x14ac:dyDescent="0.35">
      <c r="A23" t="s">
        <v>78</v>
      </c>
      <c r="B23" s="4">
        <f>Table2[[#This Row],[Likes]]+Table2[[#This Row],[Shares]]+Table2[[#This Row],[Comments]]/Table2[[#This Row],[Impressions]]</f>
        <v>9301.0048750516216</v>
      </c>
    </row>
    <row r="24" spans="1:2" hidden="1" x14ac:dyDescent="0.35">
      <c r="A24" t="s">
        <v>79</v>
      </c>
      <c r="B24" s="4">
        <f>Table2[[#This Row],[Likes]]+Table2[[#This Row],[Shares]]+Table2[[#This Row],[Comments]]/Table2[[#This Row],[Impressions]]</f>
        <v>9738.0140391829937</v>
      </c>
    </row>
    <row r="25" spans="1:2" hidden="1" x14ac:dyDescent="0.35">
      <c r="A25" t="s">
        <v>80</v>
      </c>
      <c r="B25" s="4">
        <f>Table2[[#This Row],[Likes]]+Table2[[#This Row],[Shares]]+Table2[[#This Row],[Comments]]/Table2[[#This Row],[Impressions]]</f>
        <v>24433.002229581132</v>
      </c>
    </row>
    <row r="26" spans="1:2" hidden="1" x14ac:dyDescent="0.35">
      <c r="A26" t="s">
        <v>81</v>
      </c>
      <c r="B26" s="4">
        <f>Table2[[#This Row],[Likes]]+Table2[[#This Row],[Shares]]+Table2[[#This Row],[Comments]]/Table2[[#This Row],[Impressions]]</f>
        <v>16060.002675571517</v>
      </c>
    </row>
    <row r="27" spans="1:2" hidden="1" x14ac:dyDescent="0.35">
      <c r="A27" t="s">
        <v>82</v>
      </c>
      <c r="B27" s="4">
        <f>Table2[[#This Row],[Likes]]+Table2[[#This Row],[Shares]]+Table2[[#This Row],[Comments]]/Table2[[#This Row],[Impressions]]</f>
        <v>22985.003781483963</v>
      </c>
    </row>
    <row r="28" spans="1:2" hidden="1" x14ac:dyDescent="0.35">
      <c r="A28" t="s">
        <v>83</v>
      </c>
      <c r="B28" s="4">
        <f>Table2[[#This Row],[Likes]]+Table2[[#This Row],[Shares]]+Table2[[#This Row],[Comments]]/Table2[[#This Row],[Impressions]]</f>
        <v>20512.000974632185</v>
      </c>
    </row>
    <row r="29" spans="1:2" hidden="1" x14ac:dyDescent="0.35">
      <c r="A29" t="s">
        <v>84</v>
      </c>
      <c r="B29" s="4">
        <f>Table2[[#This Row],[Likes]]+Table2[[#This Row],[Shares]]+Table2[[#This Row],[Comments]]/Table2[[#This Row],[Impressions]]</f>
        <v>13159.001256678741</v>
      </c>
    </row>
    <row r="30" spans="1:2" hidden="1" x14ac:dyDescent="0.35">
      <c r="A30" t="s">
        <v>85</v>
      </c>
      <c r="B30" s="4">
        <f>Table2[[#This Row],[Likes]]+Table2[[#This Row],[Shares]]+Table2[[#This Row],[Comments]]/Table2[[#This Row],[Impressions]]</f>
        <v>10265.007227583199</v>
      </c>
    </row>
    <row r="31" spans="1:2" hidden="1" x14ac:dyDescent="0.35">
      <c r="A31" t="s">
        <v>86</v>
      </c>
      <c r="B31" s="4">
        <f>Table2[[#This Row],[Likes]]+Table2[[#This Row],[Shares]]+Table2[[#This Row],[Comments]]/Table2[[#This Row],[Impressions]]</f>
        <v>11323.002020660688</v>
      </c>
    </row>
    <row r="32" spans="1:2" hidden="1" x14ac:dyDescent="0.35">
      <c r="A32" t="s">
        <v>87</v>
      </c>
      <c r="B32" s="4">
        <f>Table2[[#This Row],[Likes]]+Table2[[#This Row],[Shares]]+Table2[[#This Row],[Comments]]/Table2[[#This Row],[Impressions]]</f>
        <v>3630.0021875256352</v>
      </c>
    </row>
    <row r="33" spans="1:2" hidden="1" x14ac:dyDescent="0.35">
      <c r="A33" t="s">
        <v>88</v>
      </c>
      <c r="B33" s="4">
        <f>Table2[[#This Row],[Likes]]+Table2[[#This Row],[Shares]]+Table2[[#This Row],[Comments]]/Table2[[#This Row],[Impressions]]</f>
        <v>3178.0098780560702</v>
      </c>
    </row>
    <row r="34" spans="1:2" hidden="1" x14ac:dyDescent="0.35">
      <c r="A34" t="s">
        <v>89</v>
      </c>
      <c r="B34" s="4">
        <f>Table2[[#This Row],[Likes]]+Table2[[#This Row],[Shares]]+Table2[[#This Row],[Comments]]/Table2[[#This Row],[Impressions]]</f>
        <v>10517.007908055673</v>
      </c>
    </row>
    <row r="35" spans="1:2" hidden="1" x14ac:dyDescent="0.35">
      <c r="A35" t="s">
        <v>90</v>
      </c>
      <c r="B35" s="4">
        <f>Table2[[#This Row],[Likes]]+Table2[[#This Row],[Shares]]+Table2[[#This Row],[Comments]]/Table2[[#This Row],[Impressions]]</f>
        <v>18350.001212755222</v>
      </c>
    </row>
    <row r="36" spans="1:2" hidden="1" x14ac:dyDescent="0.35">
      <c r="A36" t="s">
        <v>91</v>
      </c>
      <c r="B36" s="4">
        <f>Table2[[#This Row],[Likes]]+Table2[[#This Row],[Shares]]+Table2[[#This Row],[Comments]]/Table2[[#This Row],[Impressions]]</f>
        <v>15627.002024925874</v>
      </c>
    </row>
    <row r="37" spans="1:2" hidden="1" x14ac:dyDescent="0.35">
      <c r="A37" t="s">
        <v>92</v>
      </c>
      <c r="B37" s="4">
        <f>Table2[[#This Row],[Likes]]+Table2[[#This Row],[Shares]]+Table2[[#This Row],[Comments]]/Table2[[#This Row],[Impressions]]</f>
        <v>20728.00544047348</v>
      </c>
    </row>
    <row r="38" spans="1:2" hidden="1" x14ac:dyDescent="0.35">
      <c r="A38" t="s">
        <v>93</v>
      </c>
      <c r="B38" s="4">
        <f>Table2[[#This Row],[Likes]]+Table2[[#This Row],[Shares]]+Table2[[#This Row],[Comments]]/Table2[[#This Row],[Impressions]]</f>
        <v>13308.004330641837</v>
      </c>
    </row>
    <row r="39" spans="1:2" hidden="1" x14ac:dyDescent="0.35">
      <c r="A39" t="s">
        <v>94</v>
      </c>
      <c r="B39" s="4">
        <f>Table2[[#This Row],[Likes]]+Table2[[#This Row],[Shares]]+Table2[[#This Row],[Comments]]/Table2[[#This Row],[Impressions]]</f>
        <v>9195.0016956108029</v>
      </c>
    </row>
    <row r="40" spans="1:2" hidden="1" x14ac:dyDescent="0.35">
      <c r="A40" t="s">
        <v>95</v>
      </c>
      <c r="B40" s="4">
        <f>Table2[[#This Row],[Likes]]+Table2[[#This Row],[Shares]]+Table2[[#This Row],[Comments]]/Table2[[#This Row],[Impressions]]</f>
        <v>17808.003373536481</v>
      </c>
    </row>
    <row r="41" spans="1:2" hidden="1" x14ac:dyDescent="0.35">
      <c r="A41" t="s">
        <v>96</v>
      </c>
      <c r="B41" s="4">
        <f>Table2[[#This Row],[Likes]]+Table2[[#This Row],[Shares]]+Table2[[#This Row],[Comments]]/Table2[[#This Row],[Impressions]]</f>
        <v>20864.001785753018</v>
      </c>
    </row>
    <row r="42" spans="1:2" hidden="1" x14ac:dyDescent="0.35">
      <c r="A42" t="s">
        <v>97</v>
      </c>
      <c r="B42" s="4">
        <f>Table2[[#This Row],[Likes]]+Table2[[#This Row],[Shares]]+Table2[[#This Row],[Comments]]/Table2[[#This Row],[Impressions]]</f>
        <v>5939.0008457465992</v>
      </c>
    </row>
    <row r="43" spans="1:2" hidden="1" x14ac:dyDescent="0.35">
      <c r="A43" t="s">
        <v>98</v>
      </c>
      <c r="B43" s="4">
        <f>Table2[[#This Row],[Likes]]+Table2[[#This Row],[Shares]]+Table2[[#This Row],[Comments]]/Table2[[#This Row],[Impressions]]</f>
        <v>14178.010287023959</v>
      </c>
    </row>
    <row r="44" spans="1:2" hidden="1" x14ac:dyDescent="0.35">
      <c r="A44" t="s">
        <v>99</v>
      </c>
      <c r="B44" s="4">
        <f>Table2[[#This Row],[Likes]]+Table2[[#This Row],[Shares]]+Table2[[#This Row],[Comments]]/Table2[[#This Row],[Impressions]]</f>
        <v>7206.0037270326766</v>
      </c>
    </row>
    <row r="45" spans="1:2" hidden="1" x14ac:dyDescent="0.35">
      <c r="A45" t="s">
        <v>100</v>
      </c>
      <c r="B45" s="4">
        <f>Table2[[#This Row],[Likes]]+Table2[[#This Row],[Shares]]+Table2[[#This Row],[Comments]]/Table2[[#This Row],[Impressions]]</f>
        <v>23340.006411751816</v>
      </c>
    </row>
    <row r="46" spans="1:2" hidden="1" x14ac:dyDescent="0.35">
      <c r="A46" t="s">
        <v>101</v>
      </c>
      <c r="B46" s="4">
        <f>Table2[[#This Row],[Likes]]+Table2[[#This Row],[Shares]]+Table2[[#This Row],[Comments]]/Table2[[#This Row],[Impressions]]</f>
        <v>16046.002308440991</v>
      </c>
    </row>
    <row r="47" spans="1:2" hidden="1" x14ac:dyDescent="0.35">
      <c r="A47" t="s">
        <v>102</v>
      </c>
      <c r="B47" s="4">
        <f>Table2[[#This Row],[Likes]]+Table2[[#This Row],[Shares]]+Table2[[#This Row],[Comments]]/Table2[[#This Row],[Impressions]]</f>
        <v>18846.002538041517</v>
      </c>
    </row>
    <row r="48" spans="1:2" x14ac:dyDescent="0.35">
      <c r="A48" t="s">
        <v>103</v>
      </c>
      <c r="B48" s="4">
        <f>Table2[[#This Row],[Likes]]+Table2[[#This Row],[Shares]]+Table2[[#This Row],[Comments]]/Table2[[#This Row],[Impressions]]</f>
        <v>25737.003257490109</v>
      </c>
    </row>
    <row r="49" spans="1:2" hidden="1" x14ac:dyDescent="0.35">
      <c r="A49" t="s">
        <v>104</v>
      </c>
      <c r="B49" s="4">
        <f>Table2[[#This Row],[Likes]]+Table2[[#This Row],[Shares]]+Table2[[#This Row],[Comments]]/Table2[[#This Row],[Impressions]]</f>
        <v>9235.0026414502645</v>
      </c>
    </row>
    <row r="50" spans="1:2" hidden="1" x14ac:dyDescent="0.35">
      <c r="A50" t="s">
        <v>105</v>
      </c>
      <c r="B50" s="4">
        <f>Table2[[#This Row],[Likes]]+Table2[[#This Row],[Shares]]+Table2[[#This Row],[Comments]]/Table2[[#This Row],[Impressions]]</f>
        <v>4725.0089955762696</v>
      </c>
    </row>
    <row r="51" spans="1:2" hidden="1" x14ac:dyDescent="0.35">
      <c r="A51" t="s">
        <v>106</v>
      </c>
      <c r="B51" s="4">
        <f>Table2[[#This Row],[Likes]]+Table2[[#This Row],[Shares]]+Table2[[#This Row],[Comments]]/Table2[[#This Row],[Impressions]]</f>
        <v>15792.006474746629</v>
      </c>
    </row>
    <row r="52" spans="1:2" hidden="1" x14ac:dyDescent="0.35">
      <c r="A52" t="s">
        <v>107</v>
      </c>
      <c r="B52" s="4">
        <f>Table2[[#This Row],[Likes]]+Table2[[#This Row],[Shares]]+Table2[[#This Row],[Comments]]/Table2[[#This Row],[Impressions]]</f>
        <v>24286.008598123699</v>
      </c>
    </row>
    <row r="53" spans="1:2" hidden="1" x14ac:dyDescent="0.35">
      <c r="A53" t="s">
        <v>108</v>
      </c>
      <c r="B53" s="4">
        <f>Table2[[#This Row],[Likes]]+Table2[[#This Row],[Shares]]+Table2[[#This Row],[Comments]]/Table2[[#This Row],[Impressions]]</f>
        <v>19719.001606864611</v>
      </c>
    </row>
    <row r="54" spans="1:2" hidden="1" x14ac:dyDescent="0.35">
      <c r="A54" t="s">
        <v>109</v>
      </c>
      <c r="B54" s="4">
        <f>Table2[[#This Row],[Likes]]+Table2[[#This Row],[Shares]]+Table2[[#This Row],[Comments]]/Table2[[#This Row],[Impressions]]</f>
        <v>24305.00319172638</v>
      </c>
    </row>
    <row r="55" spans="1:2" hidden="1" x14ac:dyDescent="0.35">
      <c r="A55" t="s">
        <v>110</v>
      </c>
      <c r="B55" s="4">
        <f>Table2[[#This Row],[Likes]]+Table2[[#This Row],[Shares]]+Table2[[#This Row],[Comments]]/Table2[[#This Row],[Impressions]]</f>
        <v>7293.0070211504253</v>
      </c>
    </row>
    <row r="56" spans="1:2" hidden="1" x14ac:dyDescent="0.35">
      <c r="A56" t="s">
        <v>111</v>
      </c>
      <c r="B56" s="4">
        <f>Table2[[#This Row],[Likes]]+Table2[[#This Row],[Shares]]+Table2[[#This Row],[Comments]]/Table2[[#This Row],[Impressions]]</f>
        <v>8296.0038770013907</v>
      </c>
    </row>
    <row r="57" spans="1:2" hidden="1" x14ac:dyDescent="0.35">
      <c r="A57" t="s">
        <v>112</v>
      </c>
      <c r="B57" s="4">
        <f>Table2[[#This Row],[Likes]]+Table2[[#This Row],[Shares]]+Table2[[#This Row],[Comments]]/Table2[[#This Row],[Impressions]]</f>
        <v>15995.00348469999</v>
      </c>
    </row>
    <row r="58" spans="1:2" hidden="1" x14ac:dyDescent="0.35">
      <c r="A58" t="s">
        <v>113</v>
      </c>
      <c r="B58" s="4">
        <f>Table2[[#This Row],[Likes]]+Table2[[#This Row],[Shares]]+Table2[[#This Row],[Comments]]/Table2[[#This Row],[Impressions]]</f>
        <v>13211.006170015457</v>
      </c>
    </row>
    <row r="59" spans="1:2" hidden="1" x14ac:dyDescent="0.35">
      <c r="A59" t="s">
        <v>114</v>
      </c>
      <c r="B59" s="4">
        <f>Table2[[#This Row],[Likes]]+Table2[[#This Row],[Shares]]+Table2[[#This Row],[Comments]]/Table2[[#This Row],[Impressions]]</f>
        <v>6569.0041478558869</v>
      </c>
    </row>
    <row r="60" spans="1:2" hidden="1" x14ac:dyDescent="0.35">
      <c r="A60" t="s">
        <v>115</v>
      </c>
      <c r="B60" s="4">
        <f>Table2[[#This Row],[Likes]]+Table2[[#This Row],[Shares]]+Table2[[#This Row],[Comments]]/Table2[[#This Row],[Impressions]]</f>
        <v>16918.002301784556</v>
      </c>
    </row>
    <row r="61" spans="1:2" hidden="1" x14ac:dyDescent="0.35">
      <c r="A61" t="s">
        <v>116</v>
      </c>
      <c r="B61" s="4">
        <f>Table2[[#This Row],[Likes]]+Table2[[#This Row],[Shares]]+Table2[[#This Row],[Comments]]/Table2[[#This Row],[Impressions]]</f>
        <v>10716.007446482097</v>
      </c>
    </row>
    <row r="62" spans="1:2" hidden="1" x14ac:dyDescent="0.35">
      <c r="A62" t="s">
        <v>117</v>
      </c>
      <c r="B62" s="4">
        <f>Table2[[#This Row],[Likes]]+Table2[[#This Row],[Shares]]+Table2[[#This Row],[Comments]]/Table2[[#This Row],[Impressions]]</f>
        <v>16884.004768587271</v>
      </c>
    </row>
    <row r="63" spans="1:2" hidden="1" x14ac:dyDescent="0.35">
      <c r="A63" t="s">
        <v>118</v>
      </c>
      <c r="B63" s="4">
        <f>Table2[[#This Row],[Likes]]+Table2[[#This Row],[Shares]]+Table2[[#This Row],[Comments]]/Table2[[#This Row],[Impressions]]</f>
        <v>19430.002479764953</v>
      </c>
    </row>
    <row r="64" spans="1:2" hidden="1" x14ac:dyDescent="0.35">
      <c r="A64" t="s">
        <v>119</v>
      </c>
      <c r="B64" s="4">
        <f>Table2[[#This Row],[Likes]]+Table2[[#This Row],[Shares]]+Table2[[#This Row],[Comments]]/Table2[[#This Row],[Impressions]]</f>
        <v>13073.005147507454</v>
      </c>
    </row>
    <row r="65" spans="1:2" hidden="1" x14ac:dyDescent="0.35">
      <c r="A65" t="s">
        <v>120</v>
      </c>
      <c r="B65" s="4">
        <f>Table2[[#This Row],[Likes]]+Table2[[#This Row],[Shares]]+Table2[[#This Row],[Comments]]/Table2[[#This Row],[Impressions]]</f>
        <v>20218.002682270602</v>
      </c>
    </row>
    <row r="66" spans="1:2" hidden="1" x14ac:dyDescent="0.35">
      <c r="A66" t="s">
        <v>121</v>
      </c>
      <c r="B66" s="4">
        <f>Table2[[#This Row],[Likes]]+Table2[[#This Row],[Shares]]+Table2[[#This Row],[Comments]]/Table2[[#This Row],[Impressions]]</f>
        <v>7704.0013824454336</v>
      </c>
    </row>
    <row r="67" spans="1:2" hidden="1" x14ac:dyDescent="0.35">
      <c r="A67" t="s">
        <v>122</v>
      </c>
      <c r="B67" s="4">
        <f>Table2[[#This Row],[Likes]]+Table2[[#This Row],[Shares]]+Table2[[#This Row],[Comments]]/Table2[[#This Row],[Impressions]]</f>
        <v>13181.007391591422</v>
      </c>
    </row>
    <row r="68" spans="1:2" hidden="1" x14ac:dyDescent="0.35">
      <c r="A68" t="s">
        <v>123</v>
      </c>
      <c r="B68" s="4">
        <f>Table2[[#This Row],[Likes]]+Table2[[#This Row],[Shares]]+Table2[[#This Row],[Comments]]/Table2[[#This Row],[Impressions]]</f>
        <v>20843.002938205253</v>
      </c>
    </row>
    <row r="69" spans="1:2" hidden="1" x14ac:dyDescent="0.35">
      <c r="A69" t="s">
        <v>124</v>
      </c>
      <c r="B69" s="4">
        <f>Table2[[#This Row],[Likes]]+Table2[[#This Row],[Shares]]+Table2[[#This Row],[Comments]]/Table2[[#This Row],[Impressions]]</f>
        <v>11441.00277517721</v>
      </c>
    </row>
    <row r="70" spans="1:2" hidden="1" x14ac:dyDescent="0.35">
      <c r="A70" t="s">
        <v>125</v>
      </c>
      <c r="B70" s="4">
        <f>Table2[[#This Row],[Likes]]+Table2[[#This Row],[Shares]]+Table2[[#This Row],[Comments]]/Table2[[#This Row],[Impressions]]</f>
        <v>11007.003703495349</v>
      </c>
    </row>
    <row r="71" spans="1:2" hidden="1" x14ac:dyDescent="0.35">
      <c r="A71" t="s">
        <v>126</v>
      </c>
      <c r="B71" s="4">
        <f>Table2[[#This Row],[Likes]]+Table2[[#This Row],[Shares]]+Table2[[#This Row],[Comments]]/Table2[[#This Row],[Impressions]]</f>
        <v>7273.002063739089</v>
      </c>
    </row>
    <row r="72" spans="1:2" hidden="1" x14ac:dyDescent="0.35">
      <c r="A72" t="s">
        <v>127</v>
      </c>
      <c r="B72" s="4">
        <f>Table2[[#This Row],[Likes]]+Table2[[#This Row],[Shares]]+Table2[[#This Row],[Comments]]/Table2[[#This Row],[Impressions]]</f>
        <v>13187.001756881118</v>
      </c>
    </row>
    <row r="73" spans="1:2" x14ac:dyDescent="0.35">
      <c r="A73" t="s">
        <v>128</v>
      </c>
      <c r="B73" s="4">
        <f>Table2[[#This Row],[Likes]]+Table2[[#This Row],[Shares]]+Table2[[#This Row],[Comments]]/Table2[[#This Row],[Impressions]]</f>
        <v>25142.003931726722</v>
      </c>
    </row>
    <row r="74" spans="1:2" hidden="1" x14ac:dyDescent="0.35">
      <c r="A74" t="s">
        <v>129</v>
      </c>
      <c r="B74" s="4">
        <f>Table2[[#This Row],[Likes]]+Table2[[#This Row],[Shares]]+Table2[[#This Row],[Comments]]/Table2[[#This Row],[Impressions]]</f>
        <v>24483.001283119258</v>
      </c>
    </row>
    <row r="75" spans="1:2" hidden="1" x14ac:dyDescent="0.35">
      <c r="A75" t="s">
        <v>130</v>
      </c>
      <c r="B75" s="4">
        <f>Table2[[#This Row],[Likes]]+Table2[[#This Row],[Shares]]+Table2[[#This Row],[Comments]]/Table2[[#This Row],[Impressions]]</f>
        <v>22682.001558650962</v>
      </c>
    </row>
    <row r="76" spans="1:2" hidden="1" x14ac:dyDescent="0.35">
      <c r="A76" t="s">
        <v>131</v>
      </c>
      <c r="B76" s="4">
        <f>Table2[[#This Row],[Likes]]+Table2[[#This Row],[Shares]]+Table2[[#This Row],[Comments]]/Table2[[#This Row],[Impressions]]</f>
        <v>23138.001271963356</v>
      </c>
    </row>
    <row r="77" spans="1:2" hidden="1" x14ac:dyDescent="0.35">
      <c r="A77" t="s">
        <v>132</v>
      </c>
      <c r="B77" s="4">
        <f>Table2[[#This Row],[Likes]]+Table2[[#This Row],[Shares]]+Table2[[#This Row],[Comments]]/Table2[[#This Row],[Impressions]]</f>
        <v>17500.012535222395</v>
      </c>
    </row>
    <row r="78" spans="1:2" hidden="1" x14ac:dyDescent="0.35">
      <c r="A78" t="s">
        <v>133</v>
      </c>
      <c r="B78" s="4">
        <f>Table2[[#This Row],[Likes]]+Table2[[#This Row],[Shares]]+Table2[[#This Row],[Comments]]/Table2[[#This Row],[Impressions]]</f>
        <v>13993.002941052897</v>
      </c>
    </row>
    <row r="79" spans="1:2" hidden="1" x14ac:dyDescent="0.35">
      <c r="A79" t="s">
        <v>134</v>
      </c>
      <c r="B79" s="4">
        <f>Table2[[#This Row],[Likes]]+Table2[[#This Row],[Shares]]+Table2[[#This Row],[Comments]]/Table2[[#This Row],[Impressions]]</f>
        <v>4295.0029018918358</v>
      </c>
    </row>
    <row r="80" spans="1:2" hidden="1" x14ac:dyDescent="0.35">
      <c r="A80" t="s">
        <v>135</v>
      </c>
      <c r="B80" s="4">
        <f>Table2[[#This Row],[Likes]]+Table2[[#This Row],[Shares]]+Table2[[#This Row],[Comments]]/Table2[[#This Row],[Impressions]]</f>
        <v>9325.0015573243691</v>
      </c>
    </row>
    <row r="81" spans="1:5" hidden="1" x14ac:dyDescent="0.35">
      <c r="A81" t="s">
        <v>137</v>
      </c>
      <c r="B81" s="4">
        <f>Table2[[#This Row],[Likes]]+Table2[[#This Row],[Shares]]+Table2[[#This Row],[Comments]]/Table2[[#This Row],[Impressions]]</f>
        <v>14467.004625380199</v>
      </c>
    </row>
    <row r="82" spans="1:5" hidden="1" x14ac:dyDescent="0.35">
      <c r="A82" t="s">
        <v>138</v>
      </c>
      <c r="B82" s="4">
        <f>Table2[[#This Row],[Likes]]+Table2[[#This Row],[Shares]]+Table2[[#This Row],[Comments]]/Table2[[#This Row],[Impressions]]</f>
        <v>7499.0024258637886</v>
      </c>
    </row>
    <row r="83" spans="1:5" hidden="1" x14ac:dyDescent="0.35">
      <c r="A83" t="s">
        <v>139</v>
      </c>
      <c r="B83" s="4">
        <f>Table2[[#This Row],[Likes]]+Table2[[#This Row],[Shares]]+Table2[[#This Row],[Comments]]/Table2[[#This Row],[Impressions]]</f>
        <v>23868.011715850502</v>
      </c>
    </row>
    <row r="84" spans="1:5" hidden="1" x14ac:dyDescent="0.35">
      <c r="A84" t="s">
        <v>140</v>
      </c>
      <c r="B84" s="4">
        <f>Table2[[#This Row],[Likes]]+Table2[[#This Row],[Shares]]+Table2[[#This Row],[Comments]]/Table2[[#This Row],[Impressions]]</f>
        <v>18774.009477741667</v>
      </c>
    </row>
    <row r="85" spans="1:5" hidden="1" x14ac:dyDescent="0.35">
      <c r="A85" t="s">
        <v>141</v>
      </c>
      <c r="B85" s="4">
        <f>Table2[[#This Row],[Likes]]+Table2[[#This Row],[Shares]]+Table2[[#This Row],[Comments]]/Table2[[#This Row],[Impressions]]</f>
        <v>15319.002097417086</v>
      </c>
    </row>
    <row r="86" spans="1:5" hidden="1" x14ac:dyDescent="0.35">
      <c r="A86" t="s">
        <v>142</v>
      </c>
      <c r="B86" s="4">
        <f>Table2[[#This Row],[Likes]]+Table2[[#This Row],[Shares]]+Table2[[#This Row],[Comments]]/Table2[[#This Row],[Impressions]]</f>
        <v>9091.0042896023351</v>
      </c>
    </row>
    <row r="87" spans="1:5" hidden="1" x14ac:dyDescent="0.35">
      <c r="A87" t="s">
        <v>143</v>
      </c>
      <c r="B87" s="4">
        <f>Table2[[#This Row],[Likes]]+Table2[[#This Row],[Shares]]+Table2[[#This Row],[Comments]]/Table2[[#This Row],[Impressions]]</f>
        <v>10426.003438488362</v>
      </c>
    </row>
    <row r="88" spans="1:5" hidden="1" x14ac:dyDescent="0.35">
      <c r="A88" t="s">
        <v>144</v>
      </c>
      <c r="B88" s="4">
        <f>Table2[[#This Row],[Likes]]+Table2[[#This Row],[Shares]]+Table2[[#This Row],[Comments]]/Table2[[#This Row],[Impressions]]</f>
        <v>12592.003196979233</v>
      </c>
    </row>
    <row r="89" spans="1:5" x14ac:dyDescent="0.35">
      <c r="A89" t="s">
        <v>145</v>
      </c>
      <c r="B89" s="4">
        <f>Table2[[#This Row],[Likes]]+Table2[[#This Row],[Shares]]+Table2[[#This Row],[Comments]]/Table2[[#This Row],[Impressions]]</f>
        <v>25374.001019109626</v>
      </c>
      <c r="E89" t="s">
        <v>369</v>
      </c>
    </row>
    <row r="90" spans="1:5" hidden="1" x14ac:dyDescent="0.35">
      <c r="A90" t="s">
        <v>146</v>
      </c>
      <c r="B90" s="4">
        <f>Table2[[#This Row],[Likes]]+Table2[[#This Row],[Shares]]+Table2[[#This Row],[Comments]]/Table2[[#This Row],[Impressions]]</f>
        <v>11374.005626386939</v>
      </c>
    </row>
    <row r="91" spans="1:5" hidden="1" x14ac:dyDescent="0.35">
      <c r="A91" t="s">
        <v>147</v>
      </c>
      <c r="B91" s="4">
        <f>Table2[[#This Row],[Likes]]+Table2[[#This Row],[Shares]]+Table2[[#This Row],[Comments]]/Table2[[#This Row],[Impressions]]</f>
        <v>9852.0007505199392</v>
      </c>
    </row>
    <row r="92" spans="1:5" hidden="1" x14ac:dyDescent="0.35">
      <c r="A92" t="s">
        <v>148</v>
      </c>
      <c r="B92" s="4">
        <f>Table2[[#This Row],[Likes]]+Table2[[#This Row],[Shares]]+Table2[[#This Row],[Comments]]/Table2[[#This Row],[Impressions]]</f>
        <v>12431.0064117151</v>
      </c>
    </row>
    <row r="93" spans="1:5" hidden="1" x14ac:dyDescent="0.35">
      <c r="A93" t="s">
        <v>149</v>
      </c>
      <c r="B93" s="4">
        <f>Table2[[#This Row],[Likes]]+Table2[[#This Row],[Shares]]+Table2[[#This Row],[Comments]]/Table2[[#This Row],[Impressions]]</f>
        <v>20729.003751129781</v>
      </c>
    </row>
    <row r="94" spans="1:5" hidden="1" x14ac:dyDescent="0.35">
      <c r="A94" t="s">
        <v>150</v>
      </c>
      <c r="B94" s="4">
        <f>Table2[[#This Row],[Likes]]+Table2[[#This Row],[Shares]]+Table2[[#This Row],[Comments]]/Table2[[#This Row],[Impressions]]</f>
        <v>23190.007997564528</v>
      </c>
    </row>
    <row r="95" spans="1:5" hidden="1" x14ac:dyDescent="0.35">
      <c r="A95" t="s">
        <v>151</v>
      </c>
      <c r="B95" s="4">
        <f>Table2[[#This Row],[Likes]]+Table2[[#This Row],[Shares]]+Table2[[#This Row],[Comments]]/Table2[[#This Row],[Impressions]]</f>
        <v>12051.002719129878</v>
      </c>
    </row>
    <row r="96" spans="1:5" hidden="1" x14ac:dyDescent="0.35">
      <c r="A96" t="s">
        <v>152</v>
      </c>
      <c r="B96" s="4">
        <f>Table2[[#This Row],[Likes]]+Table2[[#This Row],[Shares]]+Table2[[#This Row],[Comments]]/Table2[[#This Row],[Impressions]]</f>
        <v>24061.00440814684</v>
      </c>
    </row>
    <row r="97" spans="1:2" hidden="1" x14ac:dyDescent="0.35">
      <c r="A97" t="s">
        <v>153</v>
      </c>
      <c r="B97" s="4">
        <f>Table2[[#This Row],[Likes]]+Table2[[#This Row],[Shares]]+Table2[[#This Row],[Comments]]/Table2[[#This Row],[Impressions]]</f>
        <v>7232.0012275551826</v>
      </c>
    </row>
    <row r="98" spans="1:2" hidden="1" x14ac:dyDescent="0.35">
      <c r="A98" t="s">
        <v>154</v>
      </c>
      <c r="B98" s="4">
        <f>Table2[[#This Row],[Likes]]+Table2[[#This Row],[Shares]]+Table2[[#This Row],[Comments]]/Table2[[#This Row],[Impressions]]</f>
        <v>7271.011593555274</v>
      </c>
    </row>
    <row r="99" spans="1:2" hidden="1" x14ac:dyDescent="0.35">
      <c r="A99" t="s">
        <v>155</v>
      </c>
      <c r="B99" s="4">
        <f>Table2[[#This Row],[Likes]]+Table2[[#This Row],[Shares]]+Table2[[#This Row],[Comments]]/Table2[[#This Row],[Impressions]]</f>
        <v>21901.003733147936</v>
      </c>
    </row>
    <row r="100" spans="1:2" hidden="1" x14ac:dyDescent="0.35">
      <c r="A100" t="s">
        <v>156</v>
      </c>
      <c r="B100" s="4">
        <f>Table2[[#This Row],[Likes]]+Table2[[#This Row],[Shares]]+Table2[[#This Row],[Comments]]/Table2[[#This Row],[Impressions]]</f>
        <v>13477.00173725143</v>
      </c>
    </row>
    <row r="101" spans="1:2" hidden="1" x14ac:dyDescent="0.35">
      <c r="A101" t="s">
        <v>157</v>
      </c>
      <c r="B101" s="4">
        <f>Table2[[#This Row],[Likes]]+Table2[[#This Row],[Shares]]+Table2[[#This Row],[Comments]]/Table2[[#This Row],[Impressions]]</f>
        <v>21997.00283506652</v>
      </c>
    </row>
    <row r="102" spans="1:2" hidden="1" x14ac:dyDescent="0.35">
      <c r="A102" t="s">
        <v>158</v>
      </c>
      <c r="B102" s="4">
        <f>Table2[[#This Row],[Likes]]+Table2[[#This Row],[Shares]]+Table2[[#This Row],[Comments]]/Table2[[#This Row],[Impressions]]</f>
        <v>8076.0079563048339</v>
      </c>
    </row>
    <row r="103" spans="1:2" hidden="1" x14ac:dyDescent="0.35">
      <c r="A103" t="s">
        <v>159</v>
      </c>
      <c r="B103" s="4">
        <f>Table2[[#This Row],[Likes]]+Table2[[#This Row],[Shares]]+Table2[[#This Row],[Comments]]/Table2[[#This Row],[Impressions]]</f>
        <v>10235.004060638874</v>
      </c>
    </row>
    <row r="104" spans="1:2" hidden="1" x14ac:dyDescent="0.35">
      <c r="A104" t="s">
        <v>160</v>
      </c>
      <c r="B104" s="4">
        <f>Table2[[#This Row],[Likes]]+Table2[[#This Row],[Shares]]+Table2[[#This Row],[Comments]]/Table2[[#This Row],[Impressions]]</f>
        <v>19548.001144688646</v>
      </c>
    </row>
    <row r="105" spans="1:2" x14ac:dyDescent="0.35">
      <c r="A105" t="s">
        <v>161</v>
      </c>
      <c r="B105" s="4">
        <f>Table2[[#This Row],[Likes]]+Table2[[#This Row],[Shares]]+Table2[[#This Row],[Comments]]/Table2[[#This Row],[Impressions]]</f>
        <v>25593.00485932369</v>
      </c>
    </row>
    <row r="106" spans="1:2" hidden="1" x14ac:dyDescent="0.35">
      <c r="A106" t="s">
        <v>162</v>
      </c>
      <c r="B106" s="4">
        <f>Table2[[#This Row],[Likes]]+Table2[[#This Row],[Shares]]+Table2[[#This Row],[Comments]]/Table2[[#This Row],[Impressions]]</f>
        <v>23059.00608573787</v>
      </c>
    </row>
    <row r="107" spans="1:2" hidden="1" x14ac:dyDescent="0.35">
      <c r="A107" t="s">
        <v>163</v>
      </c>
      <c r="B107" s="4">
        <f>Table2[[#This Row],[Likes]]+Table2[[#This Row],[Shares]]+Table2[[#This Row],[Comments]]/Table2[[#This Row],[Impressions]]</f>
        <v>24388.007067854101</v>
      </c>
    </row>
    <row r="108" spans="1:2" hidden="1" x14ac:dyDescent="0.35">
      <c r="A108" t="s">
        <v>164</v>
      </c>
      <c r="B108" s="4">
        <f>Table2[[#This Row],[Likes]]+Table2[[#This Row],[Shares]]+Table2[[#This Row],[Comments]]/Table2[[#This Row],[Impressions]]</f>
        <v>22423.004367433892</v>
      </c>
    </row>
    <row r="109" spans="1:2" hidden="1" x14ac:dyDescent="0.35">
      <c r="A109" t="s">
        <v>165</v>
      </c>
      <c r="B109" s="4">
        <f>Table2[[#This Row],[Likes]]+Table2[[#This Row],[Shares]]+Table2[[#This Row],[Comments]]/Table2[[#This Row],[Impressions]]</f>
        <v>23319.002191206295</v>
      </c>
    </row>
    <row r="110" spans="1:2" x14ac:dyDescent="0.35">
      <c r="A110" t="s">
        <v>166</v>
      </c>
      <c r="B110" s="4">
        <f>Table2[[#This Row],[Likes]]+Table2[[#This Row],[Shares]]+Table2[[#This Row],[Comments]]/Table2[[#This Row],[Impressions]]</f>
        <v>25442.003231169958</v>
      </c>
    </row>
    <row r="111" spans="1:2" hidden="1" x14ac:dyDescent="0.35">
      <c r="A111" t="s">
        <v>167</v>
      </c>
      <c r="B111" s="4">
        <f>Table2[[#This Row],[Likes]]+Table2[[#This Row],[Shares]]+Table2[[#This Row],[Comments]]/Table2[[#This Row],[Impressions]]</f>
        <v>6490.0029835685418</v>
      </c>
    </row>
    <row r="112" spans="1:2" hidden="1" x14ac:dyDescent="0.35">
      <c r="A112" t="s">
        <v>168</v>
      </c>
      <c r="B112" s="4">
        <f>Table2[[#This Row],[Likes]]+Table2[[#This Row],[Shares]]+Table2[[#This Row],[Comments]]/Table2[[#This Row],[Impressions]]</f>
        <v>11270.001381223485</v>
      </c>
    </row>
    <row r="113" spans="1:2" hidden="1" x14ac:dyDescent="0.35">
      <c r="A113" t="s">
        <v>169</v>
      </c>
      <c r="B113" s="4">
        <f>Table2[[#This Row],[Likes]]+Table2[[#This Row],[Shares]]+Table2[[#This Row],[Comments]]/Table2[[#This Row],[Impressions]]</f>
        <v>17596.001761478121</v>
      </c>
    </row>
    <row r="114" spans="1:2" hidden="1" x14ac:dyDescent="0.35">
      <c r="A114" t="s">
        <v>170</v>
      </c>
      <c r="B114" s="4">
        <f>Table2[[#This Row],[Likes]]+Table2[[#This Row],[Shares]]+Table2[[#This Row],[Comments]]/Table2[[#This Row],[Impressions]]</f>
        <v>8372.0048159573507</v>
      </c>
    </row>
    <row r="115" spans="1:2" hidden="1" x14ac:dyDescent="0.35">
      <c r="A115" t="s">
        <v>171</v>
      </c>
      <c r="B115" s="4">
        <f>Table2[[#This Row],[Likes]]+Table2[[#This Row],[Shares]]+Table2[[#This Row],[Comments]]/Table2[[#This Row],[Impressions]]</f>
        <v>7513.008443568815</v>
      </c>
    </row>
    <row r="116" spans="1:2" hidden="1" x14ac:dyDescent="0.35">
      <c r="A116" t="s">
        <v>172</v>
      </c>
      <c r="B116" s="4">
        <f>Table2[[#This Row],[Likes]]+Table2[[#This Row],[Shares]]+Table2[[#This Row],[Comments]]/Table2[[#This Row],[Impressions]]</f>
        <v>8519.0049307149529</v>
      </c>
    </row>
    <row r="117" spans="1:2" hidden="1" x14ac:dyDescent="0.35">
      <c r="A117" t="s">
        <v>173</v>
      </c>
      <c r="B117" s="4">
        <f>Table2[[#This Row],[Likes]]+Table2[[#This Row],[Shares]]+Table2[[#This Row],[Comments]]/Table2[[#This Row],[Impressions]]</f>
        <v>7070.0067877326801</v>
      </c>
    </row>
    <row r="118" spans="1:2" hidden="1" x14ac:dyDescent="0.35">
      <c r="A118" t="s">
        <v>174</v>
      </c>
      <c r="B118" s="4">
        <f>Table2[[#This Row],[Likes]]+Table2[[#This Row],[Shares]]+Table2[[#This Row],[Comments]]/Table2[[#This Row],[Impressions]]</f>
        <v>14993.001051107416</v>
      </c>
    </row>
    <row r="119" spans="1:2" hidden="1" x14ac:dyDescent="0.35">
      <c r="A119" t="s">
        <v>175</v>
      </c>
      <c r="B119" s="4">
        <f>Table2[[#This Row],[Likes]]+Table2[[#This Row],[Shares]]+Table2[[#This Row],[Comments]]/Table2[[#This Row],[Impressions]]</f>
        <v>15247.002730737986</v>
      </c>
    </row>
    <row r="120" spans="1:2" hidden="1" x14ac:dyDescent="0.35">
      <c r="A120" t="s">
        <v>176</v>
      </c>
      <c r="B120" s="4">
        <f>Table2[[#This Row],[Likes]]+Table2[[#This Row],[Shares]]+Table2[[#This Row],[Comments]]/Table2[[#This Row],[Impressions]]</f>
        <v>20909.009605918985</v>
      </c>
    </row>
    <row r="121" spans="1:2" hidden="1" x14ac:dyDescent="0.35">
      <c r="A121" t="s">
        <v>177</v>
      </c>
      <c r="B121" s="4">
        <f>Table2[[#This Row],[Likes]]+Table2[[#This Row],[Shares]]+Table2[[#This Row],[Comments]]/Table2[[#This Row],[Impressions]]</f>
        <v>9659.000928478983</v>
      </c>
    </row>
    <row r="122" spans="1:2" hidden="1" x14ac:dyDescent="0.35">
      <c r="A122" t="s">
        <v>178</v>
      </c>
      <c r="B122" s="4">
        <f>Table2[[#This Row],[Likes]]+Table2[[#This Row],[Shares]]+Table2[[#This Row],[Comments]]/Table2[[#This Row],[Impressions]]</f>
        <v>20326.018466824135</v>
      </c>
    </row>
    <row r="123" spans="1:2" hidden="1" x14ac:dyDescent="0.35">
      <c r="A123" t="s">
        <v>179</v>
      </c>
      <c r="B123" s="4">
        <f>Table2[[#This Row],[Likes]]+Table2[[#This Row],[Shares]]+Table2[[#This Row],[Comments]]/Table2[[#This Row],[Impressions]]</f>
        <v>10374.005055844096</v>
      </c>
    </row>
    <row r="124" spans="1:2" hidden="1" x14ac:dyDescent="0.35">
      <c r="A124" t="s">
        <v>180</v>
      </c>
      <c r="B124" s="4">
        <f>Table2[[#This Row],[Likes]]+Table2[[#This Row],[Shares]]+Table2[[#This Row],[Comments]]/Table2[[#This Row],[Impressions]]</f>
        <v>18407.019201791896</v>
      </c>
    </row>
    <row r="125" spans="1:2" hidden="1" x14ac:dyDescent="0.35">
      <c r="A125" t="s">
        <v>181</v>
      </c>
      <c r="B125" s="4">
        <f>Table2[[#This Row],[Likes]]+Table2[[#This Row],[Shares]]+Table2[[#This Row],[Comments]]/Table2[[#This Row],[Impressions]]</f>
        <v>9004.0019724528083</v>
      </c>
    </row>
    <row r="126" spans="1:2" hidden="1" x14ac:dyDescent="0.35">
      <c r="A126" t="s">
        <v>182</v>
      </c>
      <c r="B126" s="4">
        <f>Table2[[#This Row],[Likes]]+Table2[[#This Row],[Shares]]+Table2[[#This Row],[Comments]]/Table2[[#This Row],[Impressions]]</f>
        <v>8660.0076561450642</v>
      </c>
    </row>
    <row r="127" spans="1:2" hidden="1" x14ac:dyDescent="0.35">
      <c r="A127" t="s">
        <v>183</v>
      </c>
      <c r="B127" s="4">
        <f>Table2[[#This Row],[Likes]]+Table2[[#This Row],[Shares]]+Table2[[#This Row],[Comments]]/Table2[[#This Row],[Impressions]]</f>
        <v>14772.006830082721</v>
      </c>
    </row>
    <row r="128" spans="1:2" x14ac:dyDescent="0.35">
      <c r="A128" t="s">
        <v>184</v>
      </c>
      <c r="B128" s="4">
        <f>Table2[[#This Row],[Likes]]+Table2[[#This Row],[Shares]]+Table2[[#This Row],[Comments]]/Table2[[#This Row],[Impressions]]</f>
        <v>25275.014798683856</v>
      </c>
    </row>
    <row r="129" spans="1:2" hidden="1" x14ac:dyDescent="0.35">
      <c r="A129" t="s">
        <v>185</v>
      </c>
      <c r="B129" s="4">
        <f>Table2[[#This Row],[Likes]]+Table2[[#This Row],[Shares]]+Table2[[#This Row],[Comments]]/Table2[[#This Row],[Impressions]]</f>
        <v>15815.003359687909</v>
      </c>
    </row>
    <row r="130" spans="1:2" hidden="1" x14ac:dyDescent="0.35">
      <c r="A130" t="s">
        <v>186</v>
      </c>
      <c r="B130" s="4">
        <f>Table2[[#This Row],[Likes]]+Table2[[#This Row],[Shares]]+Table2[[#This Row],[Comments]]/Table2[[#This Row],[Impressions]]</f>
        <v>13271.01072275208</v>
      </c>
    </row>
    <row r="131" spans="1:2" hidden="1" x14ac:dyDescent="0.35">
      <c r="A131" t="s">
        <v>187</v>
      </c>
      <c r="B131" s="4">
        <f>Table2[[#This Row],[Likes]]+Table2[[#This Row],[Shares]]+Table2[[#This Row],[Comments]]/Table2[[#This Row],[Impressions]]</f>
        <v>10873.00268054558</v>
      </c>
    </row>
    <row r="132" spans="1:2" hidden="1" x14ac:dyDescent="0.35">
      <c r="A132" t="s">
        <v>188</v>
      </c>
      <c r="B132" s="4">
        <f>Table2[[#This Row],[Likes]]+Table2[[#This Row],[Shares]]+Table2[[#This Row],[Comments]]/Table2[[#This Row],[Impressions]]</f>
        <v>20783.001698993081</v>
      </c>
    </row>
    <row r="133" spans="1:2" hidden="1" x14ac:dyDescent="0.35">
      <c r="A133" t="s">
        <v>189</v>
      </c>
      <c r="B133" s="4">
        <f>Table2[[#This Row],[Likes]]+Table2[[#This Row],[Shares]]+Table2[[#This Row],[Comments]]/Table2[[#This Row],[Impressions]]</f>
        <v>5582.0199432914769</v>
      </c>
    </row>
    <row r="134" spans="1:2" hidden="1" x14ac:dyDescent="0.35">
      <c r="A134" t="s">
        <v>190</v>
      </c>
      <c r="B134" s="4">
        <f>Table2[[#This Row],[Likes]]+Table2[[#This Row],[Shares]]+Table2[[#This Row],[Comments]]/Table2[[#This Row],[Impressions]]</f>
        <v>3802.0118085322315</v>
      </c>
    </row>
    <row r="135" spans="1:2" hidden="1" x14ac:dyDescent="0.35">
      <c r="A135" t="s">
        <v>191</v>
      </c>
      <c r="B135" s="4">
        <f>Table2[[#This Row],[Likes]]+Table2[[#This Row],[Shares]]+Table2[[#This Row],[Comments]]/Table2[[#This Row],[Impressions]]</f>
        <v>6962.0036857276318</v>
      </c>
    </row>
    <row r="136" spans="1:2" hidden="1" x14ac:dyDescent="0.35">
      <c r="A136" t="s">
        <v>192</v>
      </c>
      <c r="B136" s="4">
        <f>Table2[[#This Row],[Likes]]+Table2[[#This Row],[Shares]]+Table2[[#This Row],[Comments]]/Table2[[#This Row],[Impressions]]</f>
        <v>19498.006029790624</v>
      </c>
    </row>
    <row r="137" spans="1:2" hidden="1" x14ac:dyDescent="0.35">
      <c r="A137" t="s">
        <v>193</v>
      </c>
      <c r="B137" s="4">
        <f>Table2[[#This Row],[Likes]]+Table2[[#This Row],[Shares]]+Table2[[#This Row],[Comments]]/Table2[[#This Row],[Impressions]]</f>
        <v>12897.017441513191</v>
      </c>
    </row>
    <row r="138" spans="1:2" hidden="1" x14ac:dyDescent="0.35">
      <c r="A138" t="s">
        <v>194</v>
      </c>
      <c r="B138" s="4">
        <f>Table2[[#This Row],[Likes]]+Table2[[#This Row],[Shares]]+Table2[[#This Row],[Comments]]/Table2[[#This Row],[Impressions]]</f>
        <v>13588.003840302317</v>
      </c>
    </row>
    <row r="139" spans="1:2" hidden="1" x14ac:dyDescent="0.35">
      <c r="A139" t="s">
        <v>195</v>
      </c>
      <c r="B139" s="4">
        <f>Table2[[#This Row],[Likes]]+Table2[[#This Row],[Shares]]+Table2[[#This Row],[Comments]]/Table2[[#This Row],[Impressions]]</f>
        <v>24093.003824613421</v>
      </c>
    </row>
    <row r="140" spans="1:2" x14ac:dyDescent="0.35">
      <c r="A140" t="s">
        <v>196</v>
      </c>
      <c r="B140" s="4">
        <f>Table2[[#This Row],[Likes]]+Table2[[#This Row],[Shares]]+Table2[[#This Row],[Comments]]/Table2[[#This Row],[Impressions]]</f>
        <v>25402.002551037902</v>
      </c>
    </row>
    <row r="141" spans="1:2" hidden="1" x14ac:dyDescent="0.35">
      <c r="A141" t="s">
        <v>197</v>
      </c>
      <c r="B141" s="4">
        <f>Table2[[#This Row],[Likes]]+Table2[[#This Row],[Shares]]+Table2[[#This Row],[Comments]]/Table2[[#This Row],[Impressions]]</f>
        <v>15565.009707652462</v>
      </c>
    </row>
    <row r="142" spans="1:2" hidden="1" x14ac:dyDescent="0.35">
      <c r="A142" t="s">
        <v>198</v>
      </c>
      <c r="B142" s="4">
        <f>Table2[[#This Row],[Likes]]+Table2[[#This Row],[Shares]]+Table2[[#This Row],[Comments]]/Table2[[#This Row],[Impressions]]</f>
        <v>7394.0026432943796</v>
      </c>
    </row>
    <row r="143" spans="1:2" hidden="1" x14ac:dyDescent="0.35">
      <c r="A143" t="s">
        <v>199</v>
      </c>
      <c r="B143" s="4">
        <f>Table2[[#This Row],[Likes]]+Table2[[#This Row],[Shares]]+Table2[[#This Row],[Comments]]/Table2[[#This Row],[Impressions]]</f>
        <v>6446.0036010170443</v>
      </c>
    </row>
    <row r="144" spans="1:2" hidden="1" x14ac:dyDescent="0.35">
      <c r="A144" t="s">
        <v>200</v>
      </c>
      <c r="B144" s="4">
        <f>Table2[[#This Row],[Likes]]+Table2[[#This Row],[Shares]]+Table2[[#This Row],[Comments]]/Table2[[#This Row],[Impressions]]</f>
        <v>16555.004240859587</v>
      </c>
    </row>
    <row r="145" spans="1:2" hidden="1" x14ac:dyDescent="0.35">
      <c r="A145" t="s">
        <v>201</v>
      </c>
      <c r="B145" s="4">
        <f>Table2[[#This Row],[Likes]]+Table2[[#This Row],[Shares]]+Table2[[#This Row],[Comments]]/Table2[[#This Row],[Impressions]]</f>
        <v>10119.008650362319</v>
      </c>
    </row>
    <row r="146" spans="1:2" hidden="1" x14ac:dyDescent="0.35">
      <c r="A146" t="s">
        <v>202</v>
      </c>
      <c r="B146" s="4">
        <f>Table2[[#This Row],[Likes]]+Table2[[#This Row],[Shares]]+Table2[[#This Row],[Comments]]/Table2[[#This Row],[Impressions]]</f>
        <v>9530.0019314738711</v>
      </c>
    </row>
    <row r="147" spans="1:2" hidden="1" x14ac:dyDescent="0.35">
      <c r="A147" t="s">
        <v>203</v>
      </c>
      <c r="B147" s="4">
        <f>Table2[[#This Row],[Likes]]+Table2[[#This Row],[Shares]]+Table2[[#This Row],[Comments]]/Table2[[#This Row],[Impressions]]</f>
        <v>19982.003616413695</v>
      </c>
    </row>
    <row r="148" spans="1:2" hidden="1" x14ac:dyDescent="0.35">
      <c r="A148" t="s">
        <v>204</v>
      </c>
      <c r="B148" s="4">
        <f>Table2[[#This Row],[Likes]]+Table2[[#This Row],[Shares]]+Table2[[#This Row],[Comments]]/Table2[[#This Row],[Impressions]]</f>
        <v>21739.001862670393</v>
      </c>
    </row>
    <row r="149" spans="1:2" hidden="1" x14ac:dyDescent="0.35">
      <c r="A149" t="s">
        <v>205</v>
      </c>
      <c r="B149" s="4">
        <f>Table2[[#This Row],[Likes]]+Table2[[#This Row],[Shares]]+Table2[[#This Row],[Comments]]/Table2[[#This Row],[Impressions]]</f>
        <v>22379.002351397168</v>
      </c>
    </row>
    <row r="150" spans="1:2" hidden="1" x14ac:dyDescent="0.35">
      <c r="A150" t="s">
        <v>206</v>
      </c>
      <c r="B150" s="4">
        <f>Table2[[#This Row],[Likes]]+Table2[[#This Row],[Shares]]+Table2[[#This Row],[Comments]]/Table2[[#This Row],[Impressions]]</f>
        <v>13565.003395428314</v>
      </c>
    </row>
    <row r="151" spans="1:2" hidden="1" x14ac:dyDescent="0.35">
      <c r="A151" t="s">
        <v>207</v>
      </c>
      <c r="B151" s="4">
        <f>Table2[[#This Row],[Likes]]+Table2[[#This Row],[Shares]]+Table2[[#This Row],[Comments]]/Table2[[#This Row],[Impressions]]</f>
        <v>16987.004910746811</v>
      </c>
    </row>
    <row r="152" spans="1:2" hidden="1" x14ac:dyDescent="0.35">
      <c r="A152" t="s">
        <v>208</v>
      </c>
      <c r="B152" s="4">
        <f>Table2[[#This Row],[Likes]]+Table2[[#This Row],[Shares]]+Table2[[#This Row],[Comments]]/Table2[[#This Row],[Impressions]]</f>
        <v>18506.015010376195</v>
      </c>
    </row>
    <row r="153" spans="1:2" hidden="1" x14ac:dyDescent="0.35">
      <c r="A153" t="s">
        <v>209</v>
      </c>
      <c r="B153" s="4">
        <f>Table2[[#This Row],[Likes]]+Table2[[#This Row],[Shares]]+Table2[[#This Row],[Comments]]/Table2[[#This Row],[Impressions]]</f>
        <v>13891.003229306942</v>
      </c>
    </row>
    <row r="154" spans="1:2" x14ac:dyDescent="0.35">
      <c r="A154" t="s">
        <v>210</v>
      </c>
      <c r="B154" s="4">
        <f>Table2[[#This Row],[Likes]]+Table2[[#This Row],[Shares]]+Table2[[#This Row],[Comments]]/Table2[[#This Row],[Impressions]]</f>
        <v>25483.001181883417</v>
      </c>
    </row>
    <row r="155" spans="1:2" hidden="1" x14ac:dyDescent="0.35">
      <c r="A155" t="s">
        <v>211</v>
      </c>
      <c r="B155" s="4">
        <f>Table2[[#This Row],[Likes]]+Table2[[#This Row],[Shares]]+Table2[[#This Row],[Comments]]/Table2[[#This Row],[Impressions]]</f>
        <v>8624.0063410613639</v>
      </c>
    </row>
    <row r="156" spans="1:2" hidden="1" x14ac:dyDescent="0.35">
      <c r="A156" t="s">
        <v>212</v>
      </c>
      <c r="B156" s="4">
        <f>Table2[[#This Row],[Likes]]+Table2[[#This Row],[Shares]]+Table2[[#This Row],[Comments]]/Table2[[#This Row],[Impressions]]</f>
        <v>12829.003550112051</v>
      </c>
    </row>
    <row r="157" spans="1:2" hidden="1" x14ac:dyDescent="0.35">
      <c r="A157" t="s">
        <v>213</v>
      </c>
      <c r="B157" s="4">
        <f>Table2[[#This Row],[Likes]]+Table2[[#This Row],[Shares]]+Table2[[#This Row],[Comments]]/Table2[[#This Row],[Impressions]]</f>
        <v>12962.001552163445</v>
      </c>
    </row>
    <row r="158" spans="1:2" x14ac:dyDescent="0.35">
      <c r="A158" t="s">
        <v>214</v>
      </c>
      <c r="B158" s="4">
        <f>Table2[[#This Row],[Likes]]+Table2[[#This Row],[Shares]]+Table2[[#This Row],[Comments]]/Table2[[#This Row],[Impressions]]</f>
        <v>25139.002463030534</v>
      </c>
    </row>
    <row r="159" spans="1:2" hidden="1" x14ac:dyDescent="0.35">
      <c r="A159" t="s">
        <v>215</v>
      </c>
      <c r="B159" s="4">
        <f>Table2[[#This Row],[Likes]]+Table2[[#This Row],[Shares]]+Table2[[#This Row],[Comments]]/Table2[[#This Row],[Impressions]]</f>
        <v>15596.00199870297</v>
      </c>
    </row>
    <row r="160" spans="1:2" hidden="1" x14ac:dyDescent="0.35">
      <c r="A160" t="s">
        <v>216</v>
      </c>
      <c r="B160" s="4">
        <f>Table2[[#This Row],[Likes]]+Table2[[#This Row],[Shares]]+Table2[[#This Row],[Comments]]/Table2[[#This Row],[Impressions]]</f>
        <v>22123.003350997122</v>
      </c>
    </row>
    <row r="161" spans="1:2" hidden="1" x14ac:dyDescent="0.35">
      <c r="A161" t="s">
        <v>217</v>
      </c>
      <c r="B161" s="4">
        <f>Table2[[#This Row],[Likes]]+Table2[[#This Row],[Shares]]+Table2[[#This Row],[Comments]]/Table2[[#This Row],[Impressions]]</f>
        <v>23392.004569375284</v>
      </c>
    </row>
    <row r="162" spans="1:2" hidden="1" x14ac:dyDescent="0.35">
      <c r="A162" t="s">
        <v>218</v>
      </c>
      <c r="B162" s="4">
        <f>Table2[[#This Row],[Likes]]+Table2[[#This Row],[Shares]]+Table2[[#This Row],[Comments]]/Table2[[#This Row],[Impressions]]</f>
        <v>22383.0032764754</v>
      </c>
    </row>
    <row r="163" spans="1:2" hidden="1" x14ac:dyDescent="0.35">
      <c r="A163" t="s">
        <v>219</v>
      </c>
      <c r="B163" s="4">
        <f>Table2[[#This Row],[Likes]]+Table2[[#This Row],[Shares]]+Table2[[#This Row],[Comments]]/Table2[[#This Row],[Impressions]]</f>
        <v>7704.0041801668713</v>
      </c>
    </row>
    <row r="164" spans="1:2" hidden="1" x14ac:dyDescent="0.35">
      <c r="A164" t="s">
        <v>220</v>
      </c>
      <c r="B164" s="4">
        <f>Table2[[#This Row],[Likes]]+Table2[[#This Row],[Shares]]+Table2[[#This Row],[Comments]]/Table2[[#This Row],[Impressions]]</f>
        <v>16734.006271897077</v>
      </c>
    </row>
    <row r="165" spans="1:2" hidden="1" x14ac:dyDescent="0.35">
      <c r="A165" t="s">
        <v>221</v>
      </c>
      <c r="B165" s="4">
        <f>Table2[[#This Row],[Likes]]+Table2[[#This Row],[Shares]]+Table2[[#This Row],[Comments]]/Table2[[#This Row],[Impressions]]</f>
        <v>17226.014636687505</v>
      </c>
    </row>
    <row r="166" spans="1:2" hidden="1" x14ac:dyDescent="0.35">
      <c r="A166" t="s">
        <v>222</v>
      </c>
      <c r="B166" s="4">
        <f>Table2[[#This Row],[Likes]]+Table2[[#This Row],[Shares]]+Table2[[#This Row],[Comments]]/Table2[[#This Row],[Impressions]]</f>
        <v>20967.001452950193</v>
      </c>
    </row>
    <row r="167" spans="1:2" hidden="1" x14ac:dyDescent="0.35">
      <c r="A167" t="s">
        <v>223</v>
      </c>
      <c r="B167" s="4">
        <f>Table2[[#This Row],[Likes]]+Table2[[#This Row],[Shares]]+Table2[[#This Row],[Comments]]/Table2[[#This Row],[Impressions]]</f>
        <v>25083.000660031681</v>
      </c>
    </row>
    <row r="168" spans="1:2" hidden="1" x14ac:dyDescent="0.35">
      <c r="A168" t="s">
        <v>224</v>
      </c>
      <c r="B168" s="4">
        <f>Table2[[#This Row],[Likes]]+Table2[[#This Row],[Shares]]+Table2[[#This Row],[Comments]]/Table2[[#This Row],[Impressions]]</f>
        <v>2649.0032415074525</v>
      </c>
    </row>
    <row r="169" spans="1:2" hidden="1" x14ac:dyDescent="0.35">
      <c r="A169" t="s">
        <v>225</v>
      </c>
      <c r="B169" s="4">
        <f>Table2[[#This Row],[Likes]]+Table2[[#This Row],[Shares]]+Table2[[#This Row],[Comments]]/Table2[[#This Row],[Impressions]]</f>
        <v>19563.003829019304</v>
      </c>
    </row>
    <row r="170" spans="1:2" hidden="1" x14ac:dyDescent="0.35">
      <c r="A170" t="s">
        <v>226</v>
      </c>
      <c r="B170" s="4">
        <f>Table2[[#This Row],[Likes]]+Table2[[#This Row],[Shares]]+Table2[[#This Row],[Comments]]/Table2[[#This Row],[Impressions]]</f>
        <v>2730.0053402597405</v>
      </c>
    </row>
    <row r="171" spans="1:2" hidden="1" x14ac:dyDescent="0.35">
      <c r="A171" t="s">
        <v>227</v>
      </c>
      <c r="B171" s="4">
        <f>Table2[[#This Row],[Likes]]+Table2[[#This Row],[Shares]]+Table2[[#This Row],[Comments]]/Table2[[#This Row],[Impressions]]</f>
        <v>16299.0078754651</v>
      </c>
    </row>
    <row r="172" spans="1:2" hidden="1" x14ac:dyDescent="0.35">
      <c r="A172" t="s">
        <v>228</v>
      </c>
      <c r="B172" s="4">
        <f>Table2[[#This Row],[Likes]]+Table2[[#This Row],[Shares]]+Table2[[#This Row],[Comments]]/Table2[[#This Row],[Impressions]]</f>
        <v>11477.001911561205</v>
      </c>
    </row>
    <row r="173" spans="1:2" hidden="1" x14ac:dyDescent="0.35">
      <c r="A173" t="s">
        <v>229</v>
      </c>
      <c r="B173" s="4">
        <f>Table2[[#This Row],[Likes]]+Table2[[#This Row],[Shares]]+Table2[[#This Row],[Comments]]/Table2[[#This Row],[Impressions]]</f>
        <v>10676.006192079994</v>
      </c>
    </row>
    <row r="174" spans="1:2" hidden="1" x14ac:dyDescent="0.35">
      <c r="A174" t="s">
        <v>230</v>
      </c>
      <c r="B174" s="4">
        <f>Table2[[#This Row],[Likes]]+Table2[[#This Row],[Shares]]+Table2[[#This Row],[Comments]]/Table2[[#This Row],[Impressions]]</f>
        <v>5489.0016953746563</v>
      </c>
    </row>
    <row r="175" spans="1:2" hidden="1" x14ac:dyDescent="0.35">
      <c r="A175" t="s">
        <v>231</v>
      </c>
      <c r="B175" s="4">
        <f>Table2[[#This Row],[Likes]]+Table2[[#This Row],[Shares]]+Table2[[#This Row],[Comments]]/Table2[[#This Row],[Impressions]]</f>
        <v>14668.015206546474</v>
      </c>
    </row>
    <row r="176" spans="1:2" hidden="1" x14ac:dyDescent="0.35">
      <c r="A176" t="s">
        <v>232</v>
      </c>
      <c r="B176" s="4">
        <f>Table2[[#This Row],[Likes]]+Table2[[#This Row],[Shares]]+Table2[[#This Row],[Comments]]/Table2[[#This Row],[Impressions]]</f>
        <v>18159.00243041166</v>
      </c>
    </row>
    <row r="177" spans="1:2" hidden="1" x14ac:dyDescent="0.35">
      <c r="A177" t="s">
        <v>233</v>
      </c>
      <c r="B177" s="4">
        <f>Table2[[#This Row],[Likes]]+Table2[[#This Row],[Shares]]+Table2[[#This Row],[Comments]]/Table2[[#This Row],[Impressions]]</f>
        <v>19382.001636286284</v>
      </c>
    </row>
    <row r="178" spans="1:2" hidden="1" x14ac:dyDescent="0.35">
      <c r="A178" t="s">
        <v>234</v>
      </c>
      <c r="B178" s="4">
        <f>Table2[[#This Row],[Likes]]+Table2[[#This Row],[Shares]]+Table2[[#This Row],[Comments]]/Table2[[#This Row],[Impressions]]</f>
        <v>9960.006002154958</v>
      </c>
    </row>
    <row r="179" spans="1:2" hidden="1" x14ac:dyDescent="0.35">
      <c r="A179" t="s">
        <v>235</v>
      </c>
      <c r="B179" s="4">
        <f>Table2[[#This Row],[Likes]]+Table2[[#This Row],[Shares]]+Table2[[#This Row],[Comments]]/Table2[[#This Row],[Impressions]]</f>
        <v>7543.0038187999935</v>
      </c>
    </row>
    <row r="180" spans="1:2" hidden="1" x14ac:dyDescent="0.35">
      <c r="A180" t="s">
        <v>236</v>
      </c>
      <c r="B180" s="4">
        <f>Table2[[#This Row],[Likes]]+Table2[[#This Row],[Shares]]+Table2[[#This Row],[Comments]]/Table2[[#This Row],[Impressions]]</f>
        <v>17265.001462578173</v>
      </c>
    </row>
    <row r="181" spans="1:2" hidden="1" x14ac:dyDescent="0.35">
      <c r="A181" t="s">
        <v>237</v>
      </c>
      <c r="B181" s="4">
        <f>Table2[[#This Row],[Likes]]+Table2[[#This Row],[Shares]]+Table2[[#This Row],[Comments]]/Table2[[#This Row],[Impressions]]</f>
        <v>16492.002668500339</v>
      </c>
    </row>
    <row r="182" spans="1:2" hidden="1" x14ac:dyDescent="0.35">
      <c r="A182" t="s">
        <v>238</v>
      </c>
      <c r="B182" s="4">
        <f>Table2[[#This Row],[Likes]]+Table2[[#This Row],[Shares]]+Table2[[#This Row],[Comments]]/Table2[[#This Row],[Impressions]]</f>
        <v>7610.0023830009786</v>
      </c>
    </row>
    <row r="183" spans="1:2" hidden="1" x14ac:dyDescent="0.35">
      <c r="A183" t="s">
        <v>239</v>
      </c>
      <c r="B183" s="4">
        <f>Table2[[#This Row],[Likes]]+Table2[[#This Row],[Shares]]+Table2[[#This Row],[Comments]]/Table2[[#This Row],[Impressions]]</f>
        <v>7750.0035884600438</v>
      </c>
    </row>
    <row r="184" spans="1:2" hidden="1" x14ac:dyDescent="0.35">
      <c r="A184" t="s">
        <v>240</v>
      </c>
      <c r="B184" s="4">
        <f>Table2[[#This Row],[Likes]]+Table2[[#This Row],[Shares]]+Table2[[#This Row],[Comments]]/Table2[[#This Row],[Impressions]]</f>
        <v>20515.004507728623</v>
      </c>
    </row>
    <row r="185" spans="1:2" hidden="1" x14ac:dyDescent="0.35">
      <c r="A185" t="s">
        <v>241</v>
      </c>
      <c r="B185" s="4">
        <f>Table2[[#This Row],[Likes]]+Table2[[#This Row],[Shares]]+Table2[[#This Row],[Comments]]/Table2[[#This Row],[Impressions]]</f>
        <v>20669.001220430528</v>
      </c>
    </row>
    <row r="186" spans="1:2" hidden="1" x14ac:dyDescent="0.35">
      <c r="A186" t="s">
        <v>242</v>
      </c>
      <c r="B186" s="4">
        <f>Table2[[#This Row],[Likes]]+Table2[[#This Row],[Shares]]+Table2[[#This Row],[Comments]]/Table2[[#This Row],[Impressions]]</f>
        <v>22423.013923227067</v>
      </c>
    </row>
    <row r="187" spans="1:2" hidden="1" x14ac:dyDescent="0.35">
      <c r="A187" t="s">
        <v>243</v>
      </c>
      <c r="B187" s="4">
        <f>Table2[[#This Row],[Likes]]+Table2[[#This Row],[Shares]]+Table2[[#This Row],[Comments]]/Table2[[#This Row],[Impressions]]</f>
        <v>25107.001660401296</v>
      </c>
    </row>
    <row r="188" spans="1:2" hidden="1" x14ac:dyDescent="0.35">
      <c r="A188" t="s">
        <v>244</v>
      </c>
      <c r="B188" s="4">
        <f>Table2[[#This Row],[Likes]]+Table2[[#This Row],[Shares]]+Table2[[#This Row],[Comments]]/Table2[[#This Row],[Impressions]]</f>
        <v>8838.0141905064156</v>
      </c>
    </row>
    <row r="189" spans="1:2" hidden="1" x14ac:dyDescent="0.35">
      <c r="A189" t="s">
        <v>245</v>
      </c>
      <c r="B189" s="4">
        <f>Table2[[#This Row],[Likes]]+Table2[[#This Row],[Shares]]+Table2[[#This Row],[Comments]]/Table2[[#This Row],[Impressions]]</f>
        <v>4320.0019785033701</v>
      </c>
    </row>
    <row r="190" spans="1:2" hidden="1" x14ac:dyDescent="0.35">
      <c r="A190" t="s">
        <v>246</v>
      </c>
      <c r="B190" s="4">
        <f>Table2[[#This Row],[Likes]]+Table2[[#This Row],[Shares]]+Table2[[#This Row],[Comments]]/Table2[[#This Row],[Impressions]]</f>
        <v>11570.005162406153</v>
      </c>
    </row>
    <row r="191" spans="1:2" hidden="1" x14ac:dyDescent="0.35">
      <c r="A191" t="s">
        <v>247</v>
      </c>
      <c r="B191" s="4">
        <f>Table2[[#This Row],[Likes]]+Table2[[#This Row],[Shares]]+Table2[[#This Row],[Comments]]/Table2[[#This Row],[Impressions]]</f>
        <v>22938.007917244056</v>
      </c>
    </row>
    <row r="192" spans="1:2" hidden="1" x14ac:dyDescent="0.35">
      <c r="A192" t="s">
        <v>248</v>
      </c>
      <c r="B192" s="4">
        <f>Table2[[#This Row],[Likes]]+Table2[[#This Row],[Shares]]+Table2[[#This Row],[Comments]]/Table2[[#This Row],[Impressions]]</f>
        <v>10066.006190908292</v>
      </c>
    </row>
    <row r="193" spans="1:2" hidden="1" x14ac:dyDescent="0.35">
      <c r="A193" t="s">
        <v>249</v>
      </c>
      <c r="B193" s="4">
        <f>Table2[[#This Row],[Likes]]+Table2[[#This Row],[Shares]]+Table2[[#This Row],[Comments]]/Table2[[#This Row],[Impressions]]</f>
        <v>9583.003022167346</v>
      </c>
    </row>
    <row r="194" spans="1:2" hidden="1" x14ac:dyDescent="0.35">
      <c r="A194" t="s">
        <v>250</v>
      </c>
      <c r="B194" s="4">
        <f>Table2[[#This Row],[Likes]]+Table2[[#This Row],[Shares]]+Table2[[#This Row],[Comments]]/Table2[[#This Row],[Impressions]]</f>
        <v>5093.0029974859799</v>
      </c>
    </row>
    <row r="195" spans="1:2" hidden="1" x14ac:dyDescent="0.35">
      <c r="A195" t="s">
        <v>251</v>
      </c>
      <c r="B195" s="4">
        <f>Table2[[#This Row],[Likes]]+Table2[[#This Row],[Shares]]+Table2[[#This Row],[Comments]]/Table2[[#This Row],[Impressions]]</f>
        <v>6422.0155265526555</v>
      </c>
    </row>
    <row r="196" spans="1:2" hidden="1" x14ac:dyDescent="0.35">
      <c r="A196" t="s">
        <v>252</v>
      </c>
      <c r="B196" s="4">
        <f>Table2[[#This Row],[Likes]]+Table2[[#This Row],[Shares]]+Table2[[#This Row],[Comments]]/Table2[[#This Row],[Impressions]]</f>
        <v>15816.002699055331</v>
      </c>
    </row>
    <row r="197" spans="1:2" hidden="1" x14ac:dyDescent="0.35">
      <c r="A197" t="s">
        <v>253</v>
      </c>
      <c r="B197" s="4">
        <f>Table2[[#This Row],[Likes]]+Table2[[#This Row],[Shares]]+Table2[[#This Row],[Comments]]/Table2[[#This Row],[Impressions]]</f>
        <v>11597.012033308931</v>
      </c>
    </row>
    <row r="198" spans="1:2" hidden="1" x14ac:dyDescent="0.35">
      <c r="A198" t="s">
        <v>254</v>
      </c>
      <c r="B198" s="4">
        <f>Table2[[#This Row],[Likes]]+Table2[[#This Row],[Shares]]+Table2[[#This Row],[Comments]]/Table2[[#This Row],[Impressions]]</f>
        <v>8896.0024066481474</v>
      </c>
    </row>
    <row r="199" spans="1:2" hidden="1" x14ac:dyDescent="0.35">
      <c r="A199" t="s">
        <v>255</v>
      </c>
      <c r="B199" s="4">
        <f>Table2[[#This Row],[Likes]]+Table2[[#This Row],[Shares]]+Table2[[#This Row],[Comments]]/Table2[[#This Row],[Impressions]]</f>
        <v>15802.003274419563</v>
      </c>
    </row>
    <row r="200" spans="1:2" hidden="1" x14ac:dyDescent="0.35">
      <c r="A200" t="s">
        <v>256</v>
      </c>
      <c r="B200" s="4">
        <f>Table2[[#This Row],[Likes]]+Table2[[#This Row],[Shares]]+Table2[[#This Row],[Comments]]/Table2[[#This Row],[Impressions]]</f>
        <v>13754.003711969393</v>
      </c>
    </row>
    <row r="201" spans="1:2" hidden="1" x14ac:dyDescent="0.35">
      <c r="A201" t="s">
        <v>257</v>
      </c>
      <c r="B201" s="4">
        <f>Table2[[#This Row],[Likes]]+Table2[[#This Row],[Shares]]+Table2[[#This Row],[Comments]]/Table2[[#This Row],[Impressions]]</f>
        <v>4186.0058526608937</v>
      </c>
    </row>
    <row r="202" spans="1:2" hidden="1" x14ac:dyDescent="0.35">
      <c r="A202" t="s">
        <v>258</v>
      </c>
      <c r="B202" s="4">
        <f>Table2[[#This Row],[Likes]]+Table2[[#This Row],[Shares]]+Table2[[#This Row],[Comments]]/Table2[[#This Row],[Impressions]]</f>
        <v>20614.016603393862</v>
      </c>
    </row>
    <row r="203" spans="1:2" hidden="1" x14ac:dyDescent="0.35">
      <c r="A203" t="s">
        <v>259</v>
      </c>
      <c r="B203" s="4">
        <f>Table2[[#This Row],[Likes]]+Table2[[#This Row],[Shares]]+Table2[[#This Row],[Comments]]/Table2[[#This Row],[Impressions]]</f>
        <v>20679.006488478692</v>
      </c>
    </row>
    <row r="204" spans="1:2" hidden="1" x14ac:dyDescent="0.35">
      <c r="A204" t="s">
        <v>260</v>
      </c>
      <c r="B204" s="4">
        <f>Table2[[#This Row],[Likes]]+Table2[[#This Row],[Shares]]+Table2[[#This Row],[Comments]]/Table2[[#This Row],[Impressions]]</f>
        <v>9206.0022444368969</v>
      </c>
    </row>
    <row r="205" spans="1:2" hidden="1" x14ac:dyDescent="0.35">
      <c r="A205" t="s">
        <v>261</v>
      </c>
      <c r="B205" s="4">
        <f>Table2[[#This Row],[Likes]]+Table2[[#This Row],[Shares]]+Table2[[#This Row],[Comments]]/Table2[[#This Row],[Impressions]]</f>
        <v>18870.00346172044</v>
      </c>
    </row>
    <row r="206" spans="1:2" hidden="1" x14ac:dyDescent="0.35">
      <c r="A206" t="s">
        <v>262</v>
      </c>
      <c r="B206" s="4">
        <f>Table2[[#This Row],[Likes]]+Table2[[#This Row],[Shares]]+Table2[[#This Row],[Comments]]/Table2[[#This Row],[Impressions]]</f>
        <v>17433.002071262828</v>
      </c>
    </row>
    <row r="207" spans="1:2" hidden="1" x14ac:dyDescent="0.35">
      <c r="A207" t="s">
        <v>263</v>
      </c>
      <c r="B207" s="4">
        <f>Table2[[#This Row],[Likes]]+Table2[[#This Row],[Shares]]+Table2[[#This Row],[Comments]]/Table2[[#This Row],[Impressions]]</f>
        <v>6886.0029137529136</v>
      </c>
    </row>
    <row r="208" spans="1:2" hidden="1" x14ac:dyDescent="0.35">
      <c r="A208" t="s">
        <v>264</v>
      </c>
      <c r="B208" s="4">
        <f>Table2[[#This Row],[Likes]]+Table2[[#This Row],[Shares]]+Table2[[#This Row],[Comments]]/Table2[[#This Row],[Impressions]]</f>
        <v>9689.0032919858841</v>
      </c>
    </row>
    <row r="209" spans="1:2" hidden="1" x14ac:dyDescent="0.35">
      <c r="A209" t="s">
        <v>265</v>
      </c>
      <c r="B209" s="4">
        <f>Table2[[#This Row],[Likes]]+Table2[[#This Row],[Shares]]+Table2[[#This Row],[Comments]]/Table2[[#This Row],[Impressions]]</f>
        <v>6827.006253057124</v>
      </c>
    </row>
    <row r="210" spans="1:2" hidden="1" x14ac:dyDescent="0.35">
      <c r="A210" t="s">
        <v>266</v>
      </c>
      <c r="B210" s="4">
        <f>Table2[[#This Row],[Likes]]+Table2[[#This Row],[Shares]]+Table2[[#This Row],[Comments]]/Table2[[#This Row],[Impressions]]</f>
        <v>14507.001457538687</v>
      </c>
    </row>
    <row r="211" spans="1:2" hidden="1" x14ac:dyDescent="0.35">
      <c r="A211" t="s">
        <v>267</v>
      </c>
      <c r="B211" s="4">
        <f>Table2[[#This Row],[Likes]]+Table2[[#This Row],[Shares]]+Table2[[#This Row],[Comments]]/Table2[[#This Row],[Impressions]]</f>
        <v>8680.003071662868</v>
      </c>
    </row>
    <row r="212" spans="1:2" hidden="1" x14ac:dyDescent="0.35">
      <c r="A212" t="s">
        <v>268</v>
      </c>
      <c r="B212" s="4">
        <f>Table2[[#This Row],[Likes]]+Table2[[#This Row],[Shares]]+Table2[[#This Row],[Comments]]/Table2[[#This Row],[Impressions]]</f>
        <v>12753.004522247345</v>
      </c>
    </row>
    <row r="213" spans="1:2" hidden="1" x14ac:dyDescent="0.35">
      <c r="A213" t="s">
        <v>269</v>
      </c>
      <c r="B213" s="4">
        <f>Table2[[#This Row],[Likes]]+Table2[[#This Row],[Shares]]+Table2[[#This Row],[Comments]]/Table2[[#This Row],[Impressions]]</f>
        <v>10203.004346199881</v>
      </c>
    </row>
    <row r="214" spans="1:2" hidden="1" x14ac:dyDescent="0.35">
      <c r="A214" t="s">
        <v>270</v>
      </c>
      <c r="B214" s="4">
        <f>Table2[[#This Row],[Likes]]+Table2[[#This Row],[Shares]]+Table2[[#This Row],[Comments]]/Table2[[#This Row],[Impressions]]</f>
        <v>10785.00625430258</v>
      </c>
    </row>
    <row r="215" spans="1:2" hidden="1" x14ac:dyDescent="0.35">
      <c r="A215" t="s">
        <v>271</v>
      </c>
      <c r="B215" s="4">
        <f>Table2[[#This Row],[Likes]]+Table2[[#This Row],[Shares]]+Table2[[#This Row],[Comments]]/Table2[[#This Row],[Impressions]]</f>
        <v>19893.003792987623</v>
      </c>
    </row>
    <row r="216" spans="1:2" hidden="1" x14ac:dyDescent="0.35">
      <c r="A216" t="s">
        <v>272</v>
      </c>
      <c r="B216" s="4">
        <f>Table2[[#This Row],[Likes]]+Table2[[#This Row],[Shares]]+Table2[[#This Row],[Comments]]/Table2[[#This Row],[Impressions]]</f>
        <v>9331.0045676943973</v>
      </c>
    </row>
    <row r="217" spans="1:2" hidden="1" x14ac:dyDescent="0.35">
      <c r="A217" t="s">
        <v>273</v>
      </c>
      <c r="B217" s="4">
        <f>Table2[[#This Row],[Likes]]+Table2[[#This Row],[Shares]]+Table2[[#This Row],[Comments]]/Table2[[#This Row],[Impressions]]</f>
        <v>24052.009337934633</v>
      </c>
    </row>
    <row r="218" spans="1:2" hidden="1" x14ac:dyDescent="0.35">
      <c r="A218" t="s">
        <v>274</v>
      </c>
      <c r="B218" s="4">
        <f>Table2[[#This Row],[Likes]]+Table2[[#This Row],[Shares]]+Table2[[#This Row],[Comments]]/Table2[[#This Row],[Impressions]]</f>
        <v>17821.003290307941</v>
      </c>
    </row>
    <row r="219" spans="1:2" hidden="1" x14ac:dyDescent="0.35">
      <c r="A219" t="s">
        <v>275</v>
      </c>
      <c r="B219" s="4">
        <f>Table2[[#This Row],[Likes]]+Table2[[#This Row],[Shares]]+Table2[[#This Row],[Comments]]/Table2[[#This Row],[Impressions]]</f>
        <v>15688.001166192522</v>
      </c>
    </row>
    <row r="220" spans="1:2" hidden="1" x14ac:dyDescent="0.35">
      <c r="A220" t="s">
        <v>276</v>
      </c>
      <c r="B220" s="4">
        <f>Table2[[#This Row],[Likes]]+Table2[[#This Row],[Shares]]+Table2[[#This Row],[Comments]]/Table2[[#This Row],[Impressions]]</f>
        <v>11217.001452627483</v>
      </c>
    </row>
    <row r="221" spans="1:2" hidden="1" x14ac:dyDescent="0.35">
      <c r="A221" t="s">
        <v>277</v>
      </c>
      <c r="B221" s="4">
        <f>Table2[[#This Row],[Likes]]+Table2[[#This Row],[Shares]]+Table2[[#This Row],[Comments]]/Table2[[#This Row],[Impressions]]</f>
        <v>15405.014556662649</v>
      </c>
    </row>
    <row r="222" spans="1:2" hidden="1" x14ac:dyDescent="0.35">
      <c r="A222" t="s">
        <v>278</v>
      </c>
      <c r="B222" s="4">
        <f>Table2[[#This Row],[Likes]]+Table2[[#This Row],[Shares]]+Table2[[#This Row],[Comments]]/Table2[[#This Row],[Impressions]]</f>
        <v>19215.001786078792</v>
      </c>
    </row>
    <row r="223" spans="1:2" hidden="1" x14ac:dyDescent="0.35">
      <c r="A223" t="s">
        <v>279</v>
      </c>
      <c r="B223" s="4">
        <f>Table2[[#This Row],[Likes]]+Table2[[#This Row],[Shares]]+Table2[[#This Row],[Comments]]/Table2[[#This Row],[Impressions]]</f>
        <v>9033.0035859058316</v>
      </c>
    </row>
    <row r="224" spans="1:2" hidden="1" x14ac:dyDescent="0.35">
      <c r="A224" t="s">
        <v>280</v>
      </c>
      <c r="B224" s="4">
        <f>Table2[[#This Row],[Likes]]+Table2[[#This Row],[Shares]]+Table2[[#This Row],[Comments]]/Table2[[#This Row],[Impressions]]</f>
        <v>19224.013719414808</v>
      </c>
    </row>
    <row r="225" spans="1:2" hidden="1" x14ac:dyDescent="0.35">
      <c r="A225" t="s">
        <v>281</v>
      </c>
      <c r="B225" s="4">
        <f>Table2[[#This Row],[Likes]]+Table2[[#This Row],[Shares]]+Table2[[#This Row],[Comments]]/Table2[[#This Row],[Impressions]]</f>
        <v>5773.020571969615</v>
      </c>
    </row>
    <row r="226" spans="1:2" hidden="1" x14ac:dyDescent="0.35">
      <c r="A226" t="s">
        <v>282</v>
      </c>
      <c r="B226" s="4">
        <f>Table2[[#This Row],[Likes]]+Table2[[#This Row],[Shares]]+Table2[[#This Row],[Comments]]/Table2[[#This Row],[Impressions]]</f>
        <v>22466.00284949904</v>
      </c>
    </row>
    <row r="227" spans="1:2" hidden="1" x14ac:dyDescent="0.35">
      <c r="A227" t="s">
        <v>283</v>
      </c>
      <c r="B227" s="4">
        <f>Table2[[#This Row],[Likes]]+Table2[[#This Row],[Shares]]+Table2[[#This Row],[Comments]]/Table2[[#This Row],[Impressions]]</f>
        <v>24798.006559399004</v>
      </c>
    </row>
    <row r="228" spans="1:2" hidden="1" x14ac:dyDescent="0.35">
      <c r="A228" t="s">
        <v>284</v>
      </c>
      <c r="B228" s="4">
        <f>Table2[[#This Row],[Likes]]+Table2[[#This Row],[Shares]]+Table2[[#This Row],[Comments]]/Table2[[#This Row],[Impressions]]</f>
        <v>18369.001912605385</v>
      </c>
    </row>
    <row r="229" spans="1:2" hidden="1" x14ac:dyDescent="0.35">
      <c r="A229" t="s">
        <v>285</v>
      </c>
      <c r="B229" s="4">
        <f>Table2[[#This Row],[Likes]]+Table2[[#This Row],[Shares]]+Table2[[#This Row],[Comments]]/Table2[[#This Row],[Impressions]]</f>
        <v>4412.0119727032079</v>
      </c>
    </row>
    <row r="230" spans="1:2" hidden="1" x14ac:dyDescent="0.35">
      <c r="A230" t="s">
        <v>286</v>
      </c>
      <c r="B230" s="4">
        <f>Table2[[#This Row],[Likes]]+Table2[[#This Row],[Shares]]+Table2[[#This Row],[Comments]]/Table2[[#This Row],[Impressions]]</f>
        <v>12531.000909959506</v>
      </c>
    </row>
    <row r="231" spans="1:2" hidden="1" x14ac:dyDescent="0.35">
      <c r="A231" t="s">
        <v>287</v>
      </c>
      <c r="B231" s="4">
        <f>Table2[[#This Row],[Likes]]+Table2[[#This Row],[Shares]]+Table2[[#This Row],[Comments]]/Table2[[#This Row],[Impressions]]</f>
        <v>12935.002899187952</v>
      </c>
    </row>
    <row r="232" spans="1:2" hidden="1" x14ac:dyDescent="0.35">
      <c r="A232" t="s">
        <v>288</v>
      </c>
      <c r="B232" s="4">
        <f>Table2[[#This Row],[Likes]]+Table2[[#This Row],[Shares]]+Table2[[#This Row],[Comments]]/Table2[[#This Row],[Impressions]]</f>
        <v>19928.016126938801</v>
      </c>
    </row>
    <row r="233" spans="1:2" hidden="1" x14ac:dyDescent="0.35">
      <c r="A233" t="s">
        <v>289</v>
      </c>
      <c r="B233" s="4">
        <f>Table2[[#This Row],[Likes]]+Table2[[#This Row],[Shares]]+Table2[[#This Row],[Comments]]/Table2[[#This Row],[Impressions]]</f>
        <v>17386.003076569665</v>
      </c>
    </row>
    <row r="234" spans="1:2" hidden="1" x14ac:dyDescent="0.35">
      <c r="A234" t="s">
        <v>290</v>
      </c>
      <c r="B234" s="4">
        <f>Table2[[#This Row],[Likes]]+Table2[[#This Row],[Shares]]+Table2[[#This Row],[Comments]]/Table2[[#This Row],[Impressions]]</f>
        <v>6746.0032281856957</v>
      </c>
    </row>
    <row r="235" spans="1:2" hidden="1" x14ac:dyDescent="0.35">
      <c r="A235" t="s">
        <v>291</v>
      </c>
      <c r="B235" s="4">
        <f>Table2[[#This Row],[Likes]]+Table2[[#This Row],[Shares]]+Table2[[#This Row],[Comments]]/Table2[[#This Row],[Impressions]]</f>
        <v>20866.004709025998</v>
      </c>
    </row>
    <row r="236" spans="1:2" hidden="1" x14ac:dyDescent="0.35">
      <c r="A236" t="s">
        <v>292</v>
      </c>
      <c r="B236" s="4">
        <f>Table2[[#This Row],[Likes]]+Table2[[#This Row],[Shares]]+Table2[[#This Row],[Comments]]/Table2[[#This Row],[Impressions]]</f>
        <v>21260.003588865959</v>
      </c>
    </row>
    <row r="237" spans="1:2" hidden="1" x14ac:dyDescent="0.35">
      <c r="A237" t="s">
        <v>293</v>
      </c>
      <c r="B237" s="4">
        <f>Table2[[#This Row],[Likes]]+Table2[[#This Row],[Shares]]+Table2[[#This Row],[Comments]]/Table2[[#This Row],[Impressions]]</f>
        <v>3811.0050428450186</v>
      </c>
    </row>
    <row r="238" spans="1:2" hidden="1" x14ac:dyDescent="0.35">
      <c r="A238" t="s">
        <v>294</v>
      </c>
      <c r="B238" s="4">
        <f>Table2[[#This Row],[Likes]]+Table2[[#This Row],[Shares]]+Table2[[#This Row],[Comments]]/Table2[[#This Row],[Impressions]]</f>
        <v>8151.0082931155621</v>
      </c>
    </row>
    <row r="239" spans="1:2" hidden="1" x14ac:dyDescent="0.35">
      <c r="A239" t="s">
        <v>295</v>
      </c>
      <c r="B239" s="4">
        <f>Table2[[#This Row],[Likes]]+Table2[[#This Row],[Shares]]+Table2[[#This Row],[Comments]]/Table2[[#This Row],[Impressions]]</f>
        <v>9741.0064428232399</v>
      </c>
    </row>
    <row r="240" spans="1:2" hidden="1" x14ac:dyDescent="0.35">
      <c r="A240" t="s">
        <v>296</v>
      </c>
      <c r="B240" s="4">
        <f>Table2[[#This Row],[Likes]]+Table2[[#This Row],[Shares]]+Table2[[#This Row],[Comments]]/Table2[[#This Row],[Impressions]]</f>
        <v>13963.004085074581</v>
      </c>
    </row>
    <row r="241" spans="1:2" hidden="1" x14ac:dyDescent="0.35">
      <c r="A241" t="s">
        <v>297</v>
      </c>
      <c r="B241" s="4">
        <f>Table2[[#This Row],[Likes]]+Table2[[#This Row],[Shares]]+Table2[[#This Row],[Comments]]/Table2[[#This Row],[Impressions]]</f>
        <v>23209.003134728373</v>
      </c>
    </row>
    <row r="242" spans="1:2" hidden="1" x14ac:dyDescent="0.35">
      <c r="A242" t="s">
        <v>298</v>
      </c>
      <c r="B242" s="4">
        <f>Table2[[#This Row],[Likes]]+Table2[[#This Row],[Shares]]+Table2[[#This Row],[Comments]]/Table2[[#This Row],[Impressions]]</f>
        <v>12935.002317491253</v>
      </c>
    </row>
    <row r="243" spans="1:2" hidden="1" x14ac:dyDescent="0.35">
      <c r="A243" t="s">
        <v>299</v>
      </c>
      <c r="B243" s="4">
        <f>Table2[[#This Row],[Likes]]+Table2[[#This Row],[Shares]]+Table2[[#This Row],[Comments]]/Table2[[#This Row],[Impressions]]</f>
        <v>17032.003302053676</v>
      </c>
    </row>
    <row r="244" spans="1:2" hidden="1" x14ac:dyDescent="0.35">
      <c r="A244" t="s">
        <v>300</v>
      </c>
      <c r="B244" s="4">
        <f>Table2[[#This Row],[Likes]]+Table2[[#This Row],[Shares]]+Table2[[#This Row],[Comments]]/Table2[[#This Row],[Impressions]]</f>
        <v>23018.002798361085</v>
      </c>
    </row>
    <row r="245" spans="1:2" hidden="1" x14ac:dyDescent="0.35">
      <c r="A245" t="s">
        <v>301</v>
      </c>
      <c r="B245" s="4">
        <f>Table2[[#This Row],[Likes]]+Table2[[#This Row],[Shares]]+Table2[[#This Row],[Comments]]/Table2[[#This Row],[Impressions]]</f>
        <v>15327.007972629885</v>
      </c>
    </row>
    <row r="246" spans="1:2" hidden="1" x14ac:dyDescent="0.35">
      <c r="A246" t="s">
        <v>302</v>
      </c>
      <c r="B246" s="4">
        <f>Table2[[#This Row],[Likes]]+Table2[[#This Row],[Shares]]+Table2[[#This Row],[Comments]]/Table2[[#This Row],[Impressions]]</f>
        <v>5303.0023452111673</v>
      </c>
    </row>
    <row r="247" spans="1:2" hidden="1" x14ac:dyDescent="0.35">
      <c r="A247" t="s">
        <v>303</v>
      </c>
      <c r="B247" s="4">
        <f>Table2[[#This Row],[Likes]]+Table2[[#This Row],[Shares]]+Table2[[#This Row],[Comments]]/Table2[[#This Row],[Impressions]]</f>
        <v>20461.002459032141</v>
      </c>
    </row>
    <row r="248" spans="1:2" hidden="1" x14ac:dyDescent="0.35">
      <c r="A248" t="s">
        <v>304</v>
      </c>
      <c r="B248" s="4">
        <f>Table2[[#This Row],[Likes]]+Table2[[#This Row],[Shares]]+Table2[[#This Row],[Comments]]/Table2[[#This Row],[Impressions]]</f>
        <v>7232.0015557648348</v>
      </c>
    </row>
    <row r="249" spans="1:2" hidden="1" x14ac:dyDescent="0.35">
      <c r="A249" t="s">
        <v>305</v>
      </c>
      <c r="B249" s="4">
        <f>Table2[[#This Row],[Likes]]+Table2[[#This Row],[Shares]]+Table2[[#This Row],[Comments]]/Table2[[#This Row],[Impressions]]</f>
        <v>13732.009820330302</v>
      </c>
    </row>
    <row r="250" spans="1:2" hidden="1" x14ac:dyDescent="0.35">
      <c r="A250" t="s">
        <v>306</v>
      </c>
      <c r="B250" s="4">
        <f>Table2[[#This Row],[Likes]]+Table2[[#This Row],[Shares]]+Table2[[#This Row],[Comments]]/Table2[[#This Row],[Impressions]]</f>
        <v>12333.002886059625</v>
      </c>
    </row>
    <row r="251" spans="1:2" hidden="1" x14ac:dyDescent="0.35">
      <c r="A251" t="s">
        <v>307</v>
      </c>
      <c r="B251" s="4">
        <f>Table2[[#This Row],[Likes]]+Table2[[#This Row],[Shares]]+Table2[[#This Row],[Comments]]/Table2[[#This Row],[Impressions]]</f>
        <v>8248.0113730929261</v>
      </c>
    </row>
    <row r="252" spans="1:2" hidden="1" x14ac:dyDescent="0.35">
      <c r="A252" t="s">
        <v>308</v>
      </c>
      <c r="B252" s="4">
        <f>Table2[[#This Row],[Likes]]+Table2[[#This Row],[Shares]]+Table2[[#This Row],[Comments]]/Table2[[#This Row],[Impressions]]</f>
        <v>19059.006816668054</v>
      </c>
    </row>
    <row r="253" spans="1:2" hidden="1" x14ac:dyDescent="0.35">
      <c r="A253" t="s">
        <v>309</v>
      </c>
      <c r="B253" s="4">
        <f>Table2[[#This Row],[Likes]]+Table2[[#This Row],[Shares]]+Table2[[#This Row],[Comments]]/Table2[[#This Row],[Impressions]]</f>
        <v>12001.002417018655</v>
      </c>
    </row>
    <row r="254" spans="1:2" hidden="1" x14ac:dyDescent="0.35">
      <c r="A254" t="s">
        <v>310</v>
      </c>
      <c r="B254" s="4">
        <f>Table2[[#This Row],[Likes]]+Table2[[#This Row],[Shares]]+Table2[[#This Row],[Comments]]/Table2[[#This Row],[Impressions]]</f>
        <v>16638.005128404584</v>
      </c>
    </row>
    <row r="255" spans="1:2" hidden="1" x14ac:dyDescent="0.35">
      <c r="A255" t="s">
        <v>311</v>
      </c>
      <c r="B255" s="4">
        <f>Table2[[#This Row],[Likes]]+Table2[[#This Row],[Shares]]+Table2[[#This Row],[Comments]]/Table2[[#This Row],[Impressions]]</f>
        <v>24810.008659021765</v>
      </c>
    </row>
    <row r="256" spans="1:2" hidden="1" x14ac:dyDescent="0.35">
      <c r="A256" t="s">
        <v>312</v>
      </c>
      <c r="B256" s="4">
        <f>Table2[[#This Row],[Likes]]+Table2[[#This Row],[Shares]]+Table2[[#This Row],[Comments]]/Table2[[#This Row],[Impressions]]</f>
        <v>11841.006132357832</v>
      </c>
    </row>
    <row r="257" spans="1:2" hidden="1" x14ac:dyDescent="0.35">
      <c r="A257" t="s">
        <v>313</v>
      </c>
      <c r="B257" s="4">
        <f>Table2[[#This Row],[Likes]]+Table2[[#This Row],[Shares]]+Table2[[#This Row],[Comments]]/Table2[[#This Row],[Impressions]]</f>
        <v>3250.0023776338444</v>
      </c>
    </row>
    <row r="258" spans="1:2" hidden="1" x14ac:dyDescent="0.35">
      <c r="A258" t="s">
        <v>314</v>
      </c>
      <c r="B258" s="4">
        <f>Table2[[#This Row],[Likes]]+Table2[[#This Row],[Shares]]+Table2[[#This Row],[Comments]]/Table2[[#This Row],[Impressions]]</f>
        <v>17396.000784992229</v>
      </c>
    </row>
    <row r="259" spans="1:2" hidden="1" x14ac:dyDescent="0.35">
      <c r="A259" t="s">
        <v>315</v>
      </c>
      <c r="B259" s="4">
        <f>Table2[[#This Row],[Likes]]+Table2[[#This Row],[Shares]]+Table2[[#This Row],[Comments]]/Table2[[#This Row],[Impressions]]</f>
        <v>22039.004196970134</v>
      </c>
    </row>
    <row r="260" spans="1:2" hidden="1" x14ac:dyDescent="0.35">
      <c r="A260" t="s">
        <v>316</v>
      </c>
      <c r="B260" s="4">
        <f>Table2[[#This Row],[Likes]]+Table2[[#This Row],[Shares]]+Table2[[#This Row],[Comments]]/Table2[[#This Row],[Impressions]]</f>
        <v>17758.003844865638</v>
      </c>
    </row>
    <row r="261" spans="1:2" hidden="1" x14ac:dyDescent="0.35">
      <c r="A261" t="s">
        <v>317</v>
      </c>
      <c r="B261" s="4">
        <f>Table2[[#This Row],[Likes]]+Table2[[#This Row],[Shares]]+Table2[[#This Row],[Comments]]/Table2[[#This Row],[Impressions]]</f>
        <v>16510.007753463022</v>
      </c>
    </row>
    <row r="262" spans="1:2" hidden="1" x14ac:dyDescent="0.35">
      <c r="A262" t="s">
        <v>318</v>
      </c>
      <c r="B262" s="4">
        <f>Table2[[#This Row],[Likes]]+Table2[[#This Row],[Shares]]+Table2[[#This Row],[Comments]]/Table2[[#This Row],[Impressions]]</f>
        <v>8699.0014004653167</v>
      </c>
    </row>
    <row r="263" spans="1:2" hidden="1" x14ac:dyDescent="0.35">
      <c r="A263" t="s">
        <v>319</v>
      </c>
      <c r="B263" s="4">
        <f>Table2[[#This Row],[Likes]]+Table2[[#This Row],[Shares]]+Table2[[#This Row],[Comments]]/Table2[[#This Row],[Impressions]]</f>
        <v>23726.000764059372</v>
      </c>
    </row>
    <row r="264" spans="1:2" hidden="1" x14ac:dyDescent="0.35">
      <c r="A264" t="s">
        <v>320</v>
      </c>
      <c r="B264" s="4">
        <f>Table2[[#This Row],[Likes]]+Table2[[#This Row],[Shares]]+Table2[[#This Row],[Comments]]/Table2[[#This Row],[Impressions]]</f>
        <v>3638.0191300290558</v>
      </c>
    </row>
    <row r="265" spans="1:2" hidden="1" x14ac:dyDescent="0.35">
      <c r="A265" t="s">
        <v>321</v>
      </c>
      <c r="B265" s="4">
        <f>Table2[[#This Row],[Likes]]+Table2[[#This Row],[Shares]]+Table2[[#This Row],[Comments]]/Table2[[#This Row],[Impressions]]</f>
        <v>13867.007388759261</v>
      </c>
    </row>
    <row r="266" spans="1:2" hidden="1" x14ac:dyDescent="0.35">
      <c r="A266" t="s">
        <v>322</v>
      </c>
      <c r="B266" s="4">
        <f>Table2[[#This Row],[Likes]]+Table2[[#This Row],[Shares]]+Table2[[#This Row],[Comments]]/Table2[[#This Row],[Impressions]]</f>
        <v>17084.004777677255</v>
      </c>
    </row>
    <row r="267" spans="1:2" hidden="1" x14ac:dyDescent="0.35">
      <c r="A267" t="s">
        <v>323</v>
      </c>
      <c r="B267" s="4">
        <f>Table2[[#This Row],[Likes]]+Table2[[#This Row],[Shares]]+Table2[[#This Row],[Comments]]/Table2[[#This Row],[Impressions]]</f>
        <v>18216.00273800916</v>
      </c>
    </row>
    <row r="268" spans="1:2" hidden="1" x14ac:dyDescent="0.35">
      <c r="A268" t="s">
        <v>324</v>
      </c>
      <c r="B268" s="4">
        <f>Table2[[#This Row],[Likes]]+Table2[[#This Row],[Shares]]+Table2[[#This Row],[Comments]]/Table2[[#This Row],[Impressions]]</f>
        <v>16004.003925623701</v>
      </c>
    </row>
    <row r="269" spans="1:2" hidden="1" x14ac:dyDescent="0.35">
      <c r="A269" t="s">
        <v>325</v>
      </c>
      <c r="B269" s="4">
        <f>Table2[[#This Row],[Likes]]+Table2[[#This Row],[Shares]]+Table2[[#This Row],[Comments]]/Table2[[#This Row],[Impressions]]</f>
        <v>25027.004102635707</v>
      </c>
    </row>
    <row r="270" spans="1:2" hidden="1" x14ac:dyDescent="0.35">
      <c r="A270" t="s">
        <v>326</v>
      </c>
      <c r="B270" s="4">
        <f>Table2[[#This Row],[Likes]]+Table2[[#This Row],[Shares]]+Table2[[#This Row],[Comments]]/Table2[[#This Row],[Impressions]]</f>
        <v>9404.0011433897434</v>
      </c>
    </row>
    <row r="271" spans="1:2" hidden="1" x14ac:dyDescent="0.35">
      <c r="A271" t="s">
        <v>327</v>
      </c>
      <c r="B271" s="4">
        <f>Table2[[#This Row],[Likes]]+Table2[[#This Row],[Shares]]+Table2[[#This Row],[Comments]]/Table2[[#This Row],[Impressions]]</f>
        <v>12253.001454854961</v>
      </c>
    </row>
    <row r="272" spans="1:2" hidden="1" x14ac:dyDescent="0.35">
      <c r="A272" t="s">
        <v>328</v>
      </c>
      <c r="B272" s="4">
        <f>Table2[[#This Row],[Likes]]+Table2[[#This Row],[Shares]]+Table2[[#This Row],[Comments]]/Table2[[#This Row],[Impressions]]</f>
        <v>19946.002253100327</v>
      </c>
    </row>
    <row r="273" spans="1:2" hidden="1" x14ac:dyDescent="0.35">
      <c r="A273" t="s">
        <v>329</v>
      </c>
      <c r="B273" s="4">
        <f>Table2[[#This Row],[Likes]]+Table2[[#This Row],[Shares]]+Table2[[#This Row],[Comments]]/Table2[[#This Row],[Impressions]]</f>
        <v>16251.000981956548</v>
      </c>
    </row>
    <row r="274" spans="1:2" hidden="1" x14ac:dyDescent="0.35">
      <c r="A274" t="s">
        <v>330</v>
      </c>
      <c r="B274" s="4">
        <f>Table2[[#This Row],[Likes]]+Table2[[#This Row],[Shares]]+Table2[[#This Row],[Comments]]/Table2[[#This Row],[Impressions]]</f>
        <v>6933.0013686919465</v>
      </c>
    </row>
    <row r="275" spans="1:2" hidden="1" x14ac:dyDescent="0.35">
      <c r="A275" t="s">
        <v>331</v>
      </c>
      <c r="B275" s="4">
        <f>Table2[[#This Row],[Likes]]+Table2[[#This Row],[Shares]]+Table2[[#This Row],[Comments]]/Table2[[#This Row],[Impressions]]</f>
        <v>9003.0037750447427</v>
      </c>
    </row>
    <row r="276" spans="1:2" hidden="1" x14ac:dyDescent="0.35">
      <c r="A276" t="s">
        <v>332</v>
      </c>
      <c r="B276" s="4">
        <f>Table2[[#This Row],[Likes]]+Table2[[#This Row],[Shares]]+Table2[[#This Row],[Comments]]/Table2[[#This Row],[Impressions]]</f>
        <v>4799.0062762776952</v>
      </c>
    </row>
    <row r="277" spans="1:2" hidden="1" x14ac:dyDescent="0.35">
      <c r="A277" t="s">
        <v>333</v>
      </c>
      <c r="B277" s="4">
        <f>Table2[[#This Row],[Likes]]+Table2[[#This Row],[Shares]]+Table2[[#This Row],[Comments]]/Table2[[#This Row],[Impressions]]</f>
        <v>8669.0051444854562</v>
      </c>
    </row>
    <row r="278" spans="1:2" hidden="1" x14ac:dyDescent="0.35">
      <c r="A278" t="s">
        <v>334</v>
      </c>
      <c r="B278" s="4">
        <f>Table2[[#This Row],[Likes]]+Table2[[#This Row],[Shares]]+Table2[[#This Row],[Comments]]/Table2[[#This Row],[Impressions]]</f>
        <v>16365.001101607051</v>
      </c>
    </row>
    <row r="279" spans="1:2" hidden="1" x14ac:dyDescent="0.35">
      <c r="A279" t="s">
        <v>335</v>
      </c>
      <c r="B279" s="4">
        <f>Table2[[#This Row],[Likes]]+Table2[[#This Row],[Shares]]+Table2[[#This Row],[Comments]]/Table2[[#This Row],[Impressions]]</f>
        <v>16065.002226694243</v>
      </c>
    </row>
    <row r="280" spans="1:2" hidden="1" x14ac:dyDescent="0.35">
      <c r="A280" t="s">
        <v>336</v>
      </c>
      <c r="B280" s="4">
        <f>Table2[[#This Row],[Likes]]+Table2[[#This Row],[Shares]]+Table2[[#This Row],[Comments]]/Table2[[#This Row],[Impressions]]</f>
        <v>12458.003753030996</v>
      </c>
    </row>
    <row r="281" spans="1:2" hidden="1" x14ac:dyDescent="0.35">
      <c r="A281" t="s">
        <v>337</v>
      </c>
      <c r="B281" s="4">
        <f>Table2[[#This Row],[Likes]]+Table2[[#This Row],[Shares]]+Table2[[#This Row],[Comments]]/Table2[[#This Row],[Impressions]]</f>
        <v>4031.0040042733353</v>
      </c>
    </row>
    <row r="282" spans="1:2" hidden="1" x14ac:dyDescent="0.35">
      <c r="A282" t="s">
        <v>338</v>
      </c>
      <c r="B282" s="4">
        <f>Table2[[#This Row],[Likes]]+Table2[[#This Row],[Shares]]+Table2[[#This Row],[Comments]]/Table2[[#This Row],[Impressions]]</f>
        <v>4782.0049281234169</v>
      </c>
    </row>
    <row r="283" spans="1:2" hidden="1" x14ac:dyDescent="0.35">
      <c r="A283" t="s">
        <v>339</v>
      </c>
      <c r="B283" s="4">
        <f>Table2[[#This Row],[Likes]]+Table2[[#This Row],[Shares]]+Table2[[#This Row],[Comments]]/Table2[[#This Row],[Impressions]]</f>
        <v>23259.001932986695</v>
      </c>
    </row>
    <row r="284" spans="1:2" hidden="1" x14ac:dyDescent="0.35">
      <c r="A284" t="s">
        <v>340</v>
      </c>
      <c r="B284" s="4">
        <f>Table2[[#This Row],[Likes]]+Table2[[#This Row],[Shares]]+Table2[[#This Row],[Comments]]/Table2[[#This Row],[Impressions]]</f>
        <v>9216.003485224197</v>
      </c>
    </row>
    <row r="285" spans="1:2" hidden="1" x14ac:dyDescent="0.35">
      <c r="A285" t="s">
        <v>341</v>
      </c>
      <c r="B285" s="4">
        <f>Table2[[#This Row],[Likes]]+Table2[[#This Row],[Shares]]+Table2[[#This Row],[Comments]]/Table2[[#This Row],[Impressions]]</f>
        <v>21742.002350527375</v>
      </c>
    </row>
    <row r="286" spans="1:2" hidden="1" x14ac:dyDescent="0.35">
      <c r="A286" t="s">
        <v>342</v>
      </c>
      <c r="B286" s="4">
        <f>Table2[[#This Row],[Likes]]+Table2[[#This Row],[Shares]]+Table2[[#This Row],[Comments]]/Table2[[#This Row],[Impressions]]</f>
        <v>17403.006963441931</v>
      </c>
    </row>
    <row r="287" spans="1:2" hidden="1" x14ac:dyDescent="0.35">
      <c r="A287" t="s">
        <v>343</v>
      </c>
      <c r="B287" s="4">
        <f>Table2[[#This Row],[Likes]]+Table2[[#This Row],[Shares]]+Table2[[#This Row],[Comments]]/Table2[[#This Row],[Impressions]]</f>
        <v>23132.006657275728</v>
      </c>
    </row>
    <row r="288" spans="1:2" hidden="1" x14ac:dyDescent="0.35">
      <c r="A288" t="s">
        <v>344</v>
      </c>
      <c r="B288" s="4">
        <f>Table2[[#This Row],[Likes]]+Table2[[#This Row],[Shares]]+Table2[[#This Row],[Comments]]/Table2[[#This Row],[Impressions]]</f>
        <v>15251.018280111788</v>
      </c>
    </row>
    <row r="289" spans="1:2" hidden="1" x14ac:dyDescent="0.35">
      <c r="A289" t="s">
        <v>345</v>
      </c>
      <c r="B289" s="4">
        <f>Table2[[#This Row],[Likes]]+Table2[[#This Row],[Shares]]+Table2[[#This Row],[Comments]]/Table2[[#This Row],[Impressions]]</f>
        <v>3046.0058560168873</v>
      </c>
    </row>
    <row r="290" spans="1:2" hidden="1" x14ac:dyDescent="0.35">
      <c r="A290" t="s">
        <v>346</v>
      </c>
      <c r="B290" s="4">
        <f>Table2[[#This Row],[Likes]]+Table2[[#This Row],[Shares]]+Table2[[#This Row],[Comments]]/Table2[[#This Row],[Impressions]]</f>
        <v>20013.010037570162</v>
      </c>
    </row>
    <row r="291" spans="1:2" hidden="1" x14ac:dyDescent="0.35">
      <c r="A291" t="s">
        <v>347</v>
      </c>
      <c r="B291" s="4">
        <f>Table2[[#This Row],[Likes]]+Table2[[#This Row],[Shares]]+Table2[[#This Row],[Comments]]/Table2[[#This Row],[Impressions]]</f>
        <v>24749.001961311998</v>
      </c>
    </row>
    <row r="292" spans="1:2" hidden="1" x14ac:dyDescent="0.35">
      <c r="A292" t="s">
        <v>348</v>
      </c>
      <c r="B292" s="4">
        <f>Table2[[#This Row],[Likes]]+Table2[[#This Row],[Shares]]+Table2[[#This Row],[Comments]]/Table2[[#This Row],[Impressions]]</f>
        <v>12106.001797051484</v>
      </c>
    </row>
    <row r="293" spans="1:2" hidden="1" x14ac:dyDescent="0.35">
      <c r="A293" t="s">
        <v>349</v>
      </c>
      <c r="B293" s="4">
        <f>Table2[[#This Row],[Likes]]+Table2[[#This Row],[Shares]]+Table2[[#This Row],[Comments]]/Table2[[#This Row],[Impressions]]</f>
        <v>4459.0041944470531</v>
      </c>
    </row>
    <row r="294" spans="1:2" hidden="1" x14ac:dyDescent="0.35">
      <c r="A294" t="s">
        <v>350</v>
      </c>
      <c r="B294" s="4">
        <f>Table2[[#This Row],[Likes]]+Table2[[#This Row],[Shares]]+Table2[[#This Row],[Comments]]/Table2[[#This Row],[Impressions]]</f>
        <v>10174.003127507243</v>
      </c>
    </row>
    <row r="295" spans="1:2" hidden="1" x14ac:dyDescent="0.35">
      <c r="A295" t="s">
        <v>351</v>
      </c>
      <c r="B295" s="4">
        <f>Table2[[#This Row],[Likes]]+Table2[[#This Row],[Shares]]+Table2[[#This Row],[Comments]]/Table2[[#This Row],[Impressions]]</f>
        <v>20677.001182055275</v>
      </c>
    </row>
    <row r="296" spans="1:2" hidden="1" x14ac:dyDescent="0.35">
      <c r="A296" t="s">
        <v>352</v>
      </c>
      <c r="B296" s="4">
        <f>Table2[[#This Row],[Likes]]+Table2[[#This Row],[Shares]]+Table2[[#This Row],[Comments]]/Table2[[#This Row],[Impressions]]</f>
        <v>8527.0046360435499</v>
      </c>
    </row>
    <row r="297" spans="1:2" hidden="1" x14ac:dyDescent="0.35">
      <c r="A297" t="s">
        <v>353</v>
      </c>
      <c r="B297" s="4">
        <f>Table2[[#This Row],[Likes]]+Table2[[#This Row],[Shares]]+Table2[[#This Row],[Comments]]/Table2[[#This Row],[Impressions]]</f>
        <v>4995.0078620874801</v>
      </c>
    </row>
    <row r="298" spans="1:2" hidden="1" x14ac:dyDescent="0.35">
      <c r="A298" t="s">
        <v>354</v>
      </c>
      <c r="B298" s="4">
        <f>Table2[[#This Row],[Likes]]+Table2[[#This Row],[Shares]]+Table2[[#This Row],[Comments]]/Table2[[#This Row],[Impressions]]</f>
        <v>11709.003882885327</v>
      </c>
    </row>
    <row r="299" spans="1:2" hidden="1" x14ac:dyDescent="0.35">
      <c r="A299" t="s">
        <v>355</v>
      </c>
      <c r="B299" s="4">
        <f>Table2[[#This Row],[Likes]]+Table2[[#This Row],[Shares]]+Table2[[#This Row],[Comments]]/Table2[[#This Row],[Impressions]]</f>
        <v>4129.0037806611617</v>
      </c>
    </row>
    <row r="300" spans="1:2" hidden="1" x14ac:dyDescent="0.35">
      <c r="A300" t="s">
        <v>356</v>
      </c>
      <c r="B300" s="4">
        <f>Table2[[#This Row],[Likes]]+Table2[[#This Row],[Shares]]+Table2[[#This Row],[Comments]]/Table2[[#This Row],[Impressions]]</f>
        <v>13109.001416364457</v>
      </c>
    </row>
    <row r="301" spans="1:2" hidden="1" x14ac:dyDescent="0.35">
      <c r="A301" t="s">
        <v>357</v>
      </c>
      <c r="B301" s="4">
        <f>Table2[[#This Row],[Likes]]+Table2[[#This Row],[Shares]]+Table2[[#This Row],[Comments]]/Table2[[#This Row],[Impressions]]</f>
        <v>21442.00168421432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C8FA7-4EF0-481C-BCA8-4228C433E18C}">
  <dimension ref="A3:P10"/>
  <sheetViews>
    <sheetView zoomScale="81" zoomScaleNormal="81" workbookViewId="0">
      <selection activeCell="E17" sqref="E17"/>
    </sheetView>
  </sheetViews>
  <sheetFormatPr defaultRowHeight="14.5" x14ac:dyDescent="0.35"/>
  <cols>
    <col min="1" max="1" width="12.453125" bestFit="1" customWidth="1"/>
    <col min="2" max="2" width="15.6328125" bestFit="1" customWidth="1"/>
    <col min="3" max="3" width="12.7265625" bestFit="1" customWidth="1"/>
    <col min="4" max="4" width="16.26953125" bestFit="1" customWidth="1"/>
    <col min="5" max="5" width="11.36328125" bestFit="1" customWidth="1"/>
    <col min="6" max="6" width="12.7265625" bestFit="1" customWidth="1"/>
    <col min="7" max="7" width="16.26953125" bestFit="1" customWidth="1"/>
    <col min="8" max="8" width="11.36328125" bestFit="1" customWidth="1"/>
    <col min="9" max="9" width="12.7265625" bestFit="1" customWidth="1"/>
    <col min="10" max="10" width="16.26953125" bestFit="1" customWidth="1"/>
    <col min="11" max="11" width="11.36328125" bestFit="1" customWidth="1"/>
    <col min="12" max="12" width="12.7265625" bestFit="1" customWidth="1"/>
    <col min="13" max="13" width="16.26953125" bestFit="1" customWidth="1"/>
    <col min="14" max="14" width="15.90625" bestFit="1" customWidth="1"/>
    <col min="15" max="15" width="17.36328125" bestFit="1" customWidth="1"/>
    <col min="16" max="16" width="20.81640625" bestFit="1" customWidth="1"/>
    <col min="17" max="37" width="4.81640625" bestFit="1" customWidth="1"/>
    <col min="38" max="93" width="5.81640625" bestFit="1" customWidth="1"/>
    <col min="94" max="94" width="12.7265625" bestFit="1" customWidth="1"/>
    <col min="95" max="95" width="7.6328125" bestFit="1" customWidth="1"/>
    <col min="96" max="117" width="4.81640625" bestFit="1" customWidth="1"/>
    <col min="118" max="162" width="5.81640625" bestFit="1" customWidth="1"/>
    <col min="163" max="163" width="10.36328125" bestFit="1" customWidth="1"/>
    <col min="164" max="164" width="7.453125" bestFit="1" customWidth="1"/>
    <col min="165" max="187" width="4.81640625" bestFit="1" customWidth="1"/>
    <col min="188" max="231" width="5.81640625" bestFit="1" customWidth="1"/>
    <col min="232" max="232" width="10.1796875" bestFit="1" customWidth="1"/>
    <col min="233" max="233" width="7.26953125" bestFit="1" customWidth="1"/>
    <col min="234" max="252" width="4.81640625" bestFit="1" customWidth="1"/>
    <col min="253" max="302" width="5.81640625" bestFit="1" customWidth="1"/>
    <col min="303" max="303" width="10" bestFit="1" customWidth="1"/>
    <col min="304" max="304" width="10.36328125" bestFit="1" customWidth="1"/>
  </cols>
  <sheetData>
    <row r="3" spans="1:16" x14ac:dyDescent="0.35">
      <c r="B3" s="1" t="s">
        <v>367</v>
      </c>
    </row>
    <row r="4" spans="1:16" x14ac:dyDescent="0.35">
      <c r="B4" t="s">
        <v>56</v>
      </c>
      <c r="E4" t="s">
        <v>37</v>
      </c>
      <c r="H4" t="s">
        <v>46</v>
      </c>
      <c r="K4" t="s">
        <v>50</v>
      </c>
      <c r="N4" t="s">
        <v>362</v>
      </c>
      <c r="O4" t="s">
        <v>365</v>
      </c>
      <c r="P4" t="s">
        <v>363</v>
      </c>
    </row>
    <row r="5" spans="1:16" x14ac:dyDescent="0.35">
      <c r="A5" s="1" t="s">
        <v>368</v>
      </c>
      <c r="B5" t="s">
        <v>361</v>
      </c>
      <c r="C5" t="s">
        <v>366</v>
      </c>
      <c r="D5" t="s">
        <v>364</v>
      </c>
      <c r="E5" t="s">
        <v>361</v>
      </c>
      <c r="F5" t="s">
        <v>366</v>
      </c>
      <c r="G5" t="s">
        <v>364</v>
      </c>
      <c r="H5" t="s">
        <v>361</v>
      </c>
      <c r="I5" t="s">
        <v>366</v>
      </c>
      <c r="J5" t="s">
        <v>364</v>
      </c>
      <c r="K5" t="s">
        <v>361</v>
      </c>
      <c r="L5" t="s">
        <v>366</v>
      </c>
      <c r="M5" t="s">
        <v>364</v>
      </c>
    </row>
    <row r="6" spans="1:16" x14ac:dyDescent="0.35">
      <c r="A6" s="2" t="s">
        <v>45</v>
      </c>
      <c r="B6">
        <v>278757</v>
      </c>
      <c r="C6">
        <v>16508</v>
      </c>
      <c r="D6">
        <v>13676</v>
      </c>
      <c r="E6">
        <v>218031</v>
      </c>
      <c r="F6">
        <v>18753</v>
      </c>
      <c r="G6">
        <v>10389</v>
      </c>
      <c r="H6">
        <v>206053</v>
      </c>
      <c r="I6">
        <v>14750</v>
      </c>
      <c r="J6">
        <v>9295</v>
      </c>
      <c r="K6">
        <v>244355</v>
      </c>
      <c r="L6">
        <v>13194</v>
      </c>
      <c r="M6">
        <v>7426</v>
      </c>
      <c r="N6">
        <v>947196</v>
      </c>
      <c r="O6">
        <v>63205</v>
      </c>
      <c r="P6">
        <v>40786</v>
      </c>
    </row>
    <row r="7" spans="1:16" x14ac:dyDescent="0.35">
      <c r="A7" s="2" t="s">
        <v>41</v>
      </c>
      <c r="B7">
        <v>246297</v>
      </c>
      <c r="C7">
        <v>18856</v>
      </c>
      <c r="D7">
        <v>12611</v>
      </c>
      <c r="E7">
        <v>329722</v>
      </c>
      <c r="F7">
        <v>19905</v>
      </c>
      <c r="G7">
        <v>14305</v>
      </c>
      <c r="H7">
        <v>279588</v>
      </c>
      <c r="I7">
        <v>17963</v>
      </c>
      <c r="J7">
        <v>11014</v>
      </c>
      <c r="K7">
        <v>278759</v>
      </c>
      <c r="L7">
        <v>14236</v>
      </c>
      <c r="M7">
        <v>11770</v>
      </c>
      <c r="N7">
        <v>1134366</v>
      </c>
      <c r="O7">
        <v>70960</v>
      </c>
      <c r="P7">
        <v>49700</v>
      </c>
    </row>
    <row r="8" spans="1:16" x14ac:dyDescent="0.35">
      <c r="A8" s="2" t="s">
        <v>62</v>
      </c>
      <c r="B8">
        <v>394886</v>
      </c>
      <c r="C8">
        <v>21298</v>
      </c>
      <c r="D8">
        <v>14381</v>
      </c>
      <c r="E8">
        <v>148676</v>
      </c>
      <c r="F8">
        <v>7832</v>
      </c>
      <c r="G8">
        <v>6092</v>
      </c>
      <c r="H8">
        <v>249305</v>
      </c>
      <c r="I8">
        <v>15862</v>
      </c>
      <c r="J8">
        <v>9160</v>
      </c>
      <c r="K8">
        <v>244756</v>
      </c>
      <c r="L8">
        <v>14669</v>
      </c>
      <c r="M8">
        <v>9640</v>
      </c>
      <c r="N8">
        <v>1037623</v>
      </c>
      <c r="O8">
        <v>59661</v>
      </c>
      <c r="P8">
        <v>39273</v>
      </c>
    </row>
    <row r="9" spans="1:16" x14ac:dyDescent="0.35">
      <c r="A9" s="2" t="s">
        <v>36</v>
      </c>
      <c r="B9">
        <v>279732</v>
      </c>
      <c r="C9">
        <v>24668</v>
      </c>
      <c r="D9">
        <v>13714</v>
      </c>
      <c r="E9">
        <v>195079</v>
      </c>
      <c r="F9">
        <v>10604</v>
      </c>
      <c r="G9">
        <v>8277</v>
      </c>
      <c r="H9">
        <v>187129</v>
      </c>
      <c r="I9">
        <v>14136</v>
      </c>
      <c r="J9">
        <v>8101</v>
      </c>
      <c r="K9">
        <v>286318</v>
      </c>
      <c r="L9">
        <v>18052</v>
      </c>
      <c r="M9">
        <v>12537</v>
      </c>
      <c r="N9">
        <v>948258</v>
      </c>
      <c r="O9">
        <v>67460</v>
      </c>
      <c r="P9">
        <v>42629</v>
      </c>
    </row>
    <row r="10" spans="1:16" x14ac:dyDescent="0.35">
      <c r="A10" s="2" t="s">
        <v>20</v>
      </c>
      <c r="B10">
        <v>1199672</v>
      </c>
      <c r="C10">
        <v>81330</v>
      </c>
      <c r="D10">
        <v>54382</v>
      </c>
      <c r="E10">
        <v>891508</v>
      </c>
      <c r="F10">
        <v>57094</v>
      </c>
      <c r="G10">
        <v>39063</v>
      </c>
      <c r="H10">
        <v>922075</v>
      </c>
      <c r="I10">
        <v>62711</v>
      </c>
      <c r="J10">
        <v>37570</v>
      </c>
      <c r="K10">
        <v>1054188</v>
      </c>
      <c r="L10">
        <v>60151</v>
      </c>
      <c r="M10">
        <v>41373</v>
      </c>
      <c r="N10">
        <v>4067443</v>
      </c>
      <c r="O10">
        <v>261286</v>
      </c>
      <c r="P10">
        <v>172388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B2464-3D6F-4F61-AFCE-E6DC8D73A32E}">
  <dimension ref="A1:B21"/>
  <sheetViews>
    <sheetView workbookViewId="0">
      <selection activeCell="D18" sqref="D18"/>
    </sheetView>
  </sheetViews>
  <sheetFormatPr defaultRowHeight="14.5" x14ac:dyDescent="0.35"/>
  <cols>
    <col min="1" max="1" width="17.6328125" bestFit="1" customWidth="1"/>
    <col min="2" max="2" width="11.81640625" bestFit="1" customWidth="1"/>
  </cols>
  <sheetData>
    <row r="1" spans="1:2" x14ac:dyDescent="0.35">
      <c r="A1" s="1" t="s">
        <v>0</v>
      </c>
      <c r="B1" t="s">
        <v>21</v>
      </c>
    </row>
    <row r="2" spans="1:2" x14ac:dyDescent="0.35">
      <c r="A2" s="2" t="s">
        <v>1</v>
      </c>
      <c r="B2">
        <v>1592.72</v>
      </c>
    </row>
    <row r="3" spans="1:2" x14ac:dyDescent="0.35">
      <c r="A3" s="2" t="s">
        <v>2</v>
      </c>
      <c r="B3">
        <v>1459.3076923076924</v>
      </c>
    </row>
    <row r="4" spans="1:2" x14ac:dyDescent="0.35">
      <c r="A4" s="2" t="s">
        <v>3</v>
      </c>
      <c r="B4">
        <v>1639.2249999999999</v>
      </c>
    </row>
    <row r="5" spans="1:2" x14ac:dyDescent="0.35">
      <c r="A5" s="2" t="s">
        <v>4</v>
      </c>
      <c r="B5">
        <v>1680.3571428571429</v>
      </c>
    </row>
    <row r="6" spans="1:2" x14ac:dyDescent="0.35">
      <c r="A6" s="2" t="s">
        <v>5</v>
      </c>
      <c r="B6">
        <v>1463.2941176470588</v>
      </c>
    </row>
    <row r="7" spans="1:2" x14ac:dyDescent="0.35">
      <c r="A7" s="2" t="s">
        <v>6</v>
      </c>
      <c r="B7">
        <v>1463.2941176470588</v>
      </c>
    </row>
    <row r="8" spans="1:2" x14ac:dyDescent="0.35">
      <c r="A8" s="2" t="s">
        <v>7</v>
      </c>
      <c r="B8">
        <v>1711.5135135135135</v>
      </c>
    </row>
    <row r="9" spans="1:2" x14ac:dyDescent="0.35">
      <c r="A9" s="2" t="s">
        <v>8</v>
      </c>
      <c r="B9">
        <v>1674.96</v>
      </c>
    </row>
    <row r="10" spans="1:2" x14ac:dyDescent="0.35">
      <c r="A10" s="2" t="s">
        <v>9</v>
      </c>
      <c r="B10">
        <v>1711.5135135135135</v>
      </c>
    </row>
    <row r="11" spans="1:2" x14ac:dyDescent="0.35">
      <c r="A11" s="2" t="s">
        <v>10</v>
      </c>
      <c r="B11">
        <v>1674.96</v>
      </c>
    </row>
    <row r="12" spans="1:2" x14ac:dyDescent="0.35">
      <c r="A12" s="2" t="s">
        <v>11</v>
      </c>
      <c r="B12">
        <v>1592.72</v>
      </c>
    </row>
    <row r="13" spans="1:2" x14ac:dyDescent="0.35">
      <c r="A13" s="2" t="s">
        <v>12</v>
      </c>
      <c r="B13">
        <v>1477.2631578947369</v>
      </c>
    </row>
    <row r="14" spans="1:2" x14ac:dyDescent="0.35">
      <c r="A14" s="2" t="s">
        <v>13</v>
      </c>
      <c r="B14">
        <v>1579.4375</v>
      </c>
    </row>
    <row r="15" spans="1:2" x14ac:dyDescent="0.35">
      <c r="A15" s="2" t="s">
        <v>14</v>
      </c>
      <c r="B15">
        <v>1811.3103448275861</v>
      </c>
    </row>
    <row r="16" spans="1:2" x14ac:dyDescent="0.35">
      <c r="A16" s="2" t="s">
        <v>15</v>
      </c>
      <c r="B16">
        <v>1706.76</v>
      </c>
    </row>
    <row r="17" spans="1:2" x14ac:dyDescent="0.35">
      <c r="A17" s="2" t="s">
        <v>16</v>
      </c>
      <c r="B17">
        <v>1680.3571428571429</v>
      </c>
    </row>
    <row r="18" spans="1:2" x14ac:dyDescent="0.35">
      <c r="A18" s="2" t="s">
        <v>17</v>
      </c>
      <c r="B18">
        <v>1289.4117647058824</v>
      </c>
    </row>
    <row r="19" spans="1:2" x14ac:dyDescent="0.35">
      <c r="A19" s="2" t="s">
        <v>18</v>
      </c>
      <c r="B19">
        <v>1662.3414634146343</v>
      </c>
    </row>
    <row r="20" spans="1:2" x14ac:dyDescent="0.35">
      <c r="A20" s="2" t="s">
        <v>19</v>
      </c>
      <c r="B20">
        <v>1459.3076923076924</v>
      </c>
    </row>
    <row r="21" spans="1:2" x14ac:dyDescent="0.35">
      <c r="A21" s="2" t="s">
        <v>20</v>
      </c>
      <c r="B21">
        <v>1596.3186401838764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CBE82-B782-4D2A-9BBC-F6F2F58F1B7E}">
  <dimension ref="A1:E21"/>
  <sheetViews>
    <sheetView tabSelected="1" workbookViewId="0">
      <selection activeCell="E14" sqref="E14"/>
    </sheetView>
  </sheetViews>
  <sheetFormatPr defaultRowHeight="14.5" x14ac:dyDescent="0.35"/>
  <cols>
    <col min="1" max="1" width="17.6328125" bestFit="1" customWidth="1"/>
    <col min="2" max="2" width="18.453125" bestFit="1" customWidth="1"/>
    <col min="5" max="5" width="28.36328125" bestFit="1" customWidth="1"/>
  </cols>
  <sheetData>
    <row r="1" spans="1:5" x14ac:dyDescent="0.35">
      <c r="A1" s="1" t="s">
        <v>0</v>
      </c>
      <c r="B1" t="s">
        <v>22</v>
      </c>
    </row>
    <row r="2" spans="1:5" x14ac:dyDescent="0.35">
      <c r="A2" s="2" t="s">
        <v>14</v>
      </c>
      <c r="B2" s="9">
        <v>16224.176093827617</v>
      </c>
    </row>
    <row r="3" spans="1:5" x14ac:dyDescent="0.35">
      <c r="A3" s="2" t="s">
        <v>3</v>
      </c>
      <c r="B3" s="9">
        <v>15232.091852143065</v>
      </c>
    </row>
    <row r="4" spans="1:5" x14ac:dyDescent="0.35">
      <c r="A4" s="2" t="s">
        <v>13</v>
      </c>
      <c r="B4" s="9">
        <v>15131.44254335949</v>
      </c>
    </row>
    <row r="5" spans="1:5" x14ac:dyDescent="0.35">
      <c r="A5" s="2" t="s">
        <v>9</v>
      </c>
      <c r="B5" s="9">
        <v>14866.652867083725</v>
      </c>
    </row>
    <row r="6" spans="1:5" x14ac:dyDescent="0.35">
      <c r="A6" s="2" t="s">
        <v>7</v>
      </c>
      <c r="B6" s="9">
        <v>14866.652867083725</v>
      </c>
    </row>
    <row r="7" spans="1:5" x14ac:dyDescent="0.35">
      <c r="A7" s="2" t="s">
        <v>18</v>
      </c>
      <c r="B7" s="9">
        <v>14863.956473151055</v>
      </c>
    </row>
    <row r="8" spans="1:5" x14ac:dyDescent="0.35">
      <c r="A8" s="2" t="s">
        <v>15</v>
      </c>
      <c r="B8" s="9">
        <v>14658.964568014875</v>
      </c>
    </row>
    <row r="9" spans="1:5" x14ac:dyDescent="0.35">
      <c r="A9" s="2" t="s">
        <v>6</v>
      </c>
      <c r="B9" s="9">
        <v>14313.064135925164</v>
      </c>
    </row>
    <row r="10" spans="1:5" x14ac:dyDescent="0.35">
      <c r="A10" s="2" t="s">
        <v>5</v>
      </c>
      <c r="B10" s="9">
        <v>14313.064135925164</v>
      </c>
    </row>
    <row r="11" spans="1:5" x14ac:dyDescent="0.35">
      <c r="A11" s="2" t="s">
        <v>1</v>
      </c>
      <c r="B11" s="9">
        <v>14220.605382126392</v>
      </c>
    </row>
    <row r="12" spans="1:5" x14ac:dyDescent="0.35">
      <c r="A12" s="2" t="s">
        <v>11</v>
      </c>
      <c r="B12" s="9">
        <v>14220.605382126392</v>
      </c>
    </row>
    <row r="13" spans="1:5" x14ac:dyDescent="0.35">
      <c r="A13" s="2" t="s">
        <v>8</v>
      </c>
      <c r="B13" s="9">
        <v>14038.525525855937</v>
      </c>
      <c r="E13" t="s">
        <v>370</v>
      </c>
    </row>
    <row r="14" spans="1:5" x14ac:dyDescent="0.35">
      <c r="A14" s="2" t="s">
        <v>10</v>
      </c>
      <c r="B14" s="9">
        <v>14038.525525855937</v>
      </c>
    </row>
    <row r="15" spans="1:5" x14ac:dyDescent="0.35">
      <c r="A15" s="2" t="s">
        <v>4</v>
      </c>
      <c r="B15" s="9">
        <v>13916.790851611464</v>
      </c>
    </row>
    <row r="16" spans="1:5" x14ac:dyDescent="0.35">
      <c r="A16" s="2" t="s">
        <v>16</v>
      </c>
      <c r="B16" s="9">
        <v>13916.790851611464</v>
      </c>
    </row>
    <row r="17" spans="1:2" x14ac:dyDescent="0.35">
      <c r="A17" s="2" t="s">
        <v>12</v>
      </c>
      <c r="B17" s="9">
        <v>13887.372634891617</v>
      </c>
    </row>
    <row r="18" spans="1:2" x14ac:dyDescent="0.35">
      <c r="A18" s="2" t="s">
        <v>17</v>
      </c>
      <c r="B18" s="9">
        <v>13591.592974967072</v>
      </c>
    </row>
    <row r="19" spans="1:2" x14ac:dyDescent="0.35">
      <c r="A19" s="2" t="s">
        <v>19</v>
      </c>
      <c r="B19" s="9">
        <v>10525.007415166758</v>
      </c>
    </row>
    <row r="20" spans="1:2" x14ac:dyDescent="0.35">
      <c r="A20" s="2" t="s">
        <v>2</v>
      </c>
      <c r="B20" s="9">
        <v>10525.007415166758</v>
      </c>
    </row>
    <row r="21" spans="1:2" x14ac:dyDescent="0.35">
      <c r="A21" s="2" t="s">
        <v>20</v>
      </c>
      <c r="B21" s="9">
        <v>14071.099447152299</v>
      </c>
    </row>
  </sheetData>
  <conditionalFormatting sqref="A1:B1 A2:A21">
    <cfRule type="top10" dxfId="0" priority="1" rank="10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47BBE-2D13-4CAD-BF4F-F9A9EDD9477A}">
  <dimension ref="A1:L301"/>
  <sheetViews>
    <sheetView topLeftCell="A2" zoomScale="85" zoomScaleNormal="85" workbookViewId="0">
      <selection activeCell="O11" sqref="O11"/>
    </sheetView>
  </sheetViews>
  <sheetFormatPr defaultRowHeight="14.5" x14ac:dyDescent="0.35"/>
  <cols>
    <col min="1" max="1" width="9.1796875" bestFit="1" customWidth="1"/>
    <col min="2" max="3" width="10.81640625" bestFit="1" customWidth="1"/>
    <col min="4" max="4" width="14.453125" bestFit="1" customWidth="1"/>
    <col min="5" max="5" width="32.08984375" bestFit="1" customWidth="1"/>
    <col min="6" max="6" width="8.08984375" bestFit="1" customWidth="1"/>
    <col min="7" max="7" width="9.36328125" bestFit="1" customWidth="1"/>
    <col min="8" max="8" width="12.90625" bestFit="1" customWidth="1"/>
    <col min="9" max="10" width="8.81640625" bestFit="1" customWidth="1"/>
    <col min="11" max="11" width="14.08984375" bestFit="1" customWidth="1"/>
    <col min="12" max="12" width="26" bestFit="1" customWidth="1"/>
  </cols>
  <sheetData>
    <row r="1" spans="1:12" x14ac:dyDescent="0.35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</row>
    <row r="2" spans="1:12" x14ac:dyDescent="0.35">
      <c r="A2" t="s">
        <v>35</v>
      </c>
      <c r="B2" t="s">
        <v>36</v>
      </c>
      <c r="C2" s="3">
        <v>45649</v>
      </c>
      <c r="D2" t="s">
        <v>37</v>
      </c>
      <c r="E2" t="s">
        <v>38</v>
      </c>
      <c r="F2">
        <v>24516</v>
      </c>
      <c r="G2">
        <v>976</v>
      </c>
      <c r="H2">
        <v>974</v>
      </c>
      <c r="I2">
        <v>2675</v>
      </c>
      <c r="J2">
        <v>23275</v>
      </c>
      <c r="K2">
        <v>202932</v>
      </c>
      <c r="L2" t="s">
        <v>39</v>
      </c>
    </row>
    <row r="3" spans="1:12" x14ac:dyDescent="0.35">
      <c r="A3" t="s">
        <v>40</v>
      </c>
      <c r="B3" t="s">
        <v>41</v>
      </c>
      <c r="C3" s="3">
        <v>45903</v>
      </c>
      <c r="D3" t="s">
        <v>37</v>
      </c>
      <c r="E3" t="s">
        <v>42</v>
      </c>
      <c r="F3">
        <v>4779</v>
      </c>
      <c r="G3">
        <v>1110</v>
      </c>
      <c r="H3">
        <v>436</v>
      </c>
      <c r="I3">
        <v>1574</v>
      </c>
      <c r="J3">
        <v>77167</v>
      </c>
      <c r="K3">
        <v>71585</v>
      </c>
      <c r="L3" t="s">
        <v>43</v>
      </c>
    </row>
    <row r="4" spans="1:12" x14ac:dyDescent="0.35">
      <c r="A4" t="s">
        <v>44</v>
      </c>
      <c r="B4" t="s">
        <v>45</v>
      </c>
      <c r="C4" s="3">
        <v>45789</v>
      </c>
      <c r="D4" t="s">
        <v>46</v>
      </c>
      <c r="E4" t="s">
        <v>47</v>
      </c>
      <c r="F4">
        <v>19308</v>
      </c>
      <c r="G4">
        <v>1318</v>
      </c>
      <c r="H4">
        <v>795</v>
      </c>
      <c r="I4">
        <v>1499</v>
      </c>
      <c r="J4">
        <v>52307</v>
      </c>
      <c r="K4">
        <v>193087</v>
      </c>
      <c r="L4" t="s">
        <v>48</v>
      </c>
    </row>
    <row r="5" spans="1:12" x14ac:dyDescent="0.35">
      <c r="A5" t="s">
        <v>49</v>
      </c>
      <c r="B5" t="s">
        <v>36</v>
      </c>
      <c r="C5" s="3">
        <v>45516</v>
      </c>
      <c r="D5" t="s">
        <v>50</v>
      </c>
      <c r="E5" t="s">
        <v>51</v>
      </c>
      <c r="F5">
        <v>3581</v>
      </c>
      <c r="G5">
        <v>517</v>
      </c>
      <c r="H5">
        <v>880</v>
      </c>
      <c r="I5">
        <v>1925</v>
      </c>
      <c r="J5">
        <v>18636</v>
      </c>
      <c r="K5">
        <v>248611</v>
      </c>
      <c r="L5" t="s">
        <v>52</v>
      </c>
    </row>
    <row r="6" spans="1:12" x14ac:dyDescent="0.35">
      <c r="A6" t="s">
        <v>53</v>
      </c>
      <c r="B6" t="s">
        <v>36</v>
      </c>
      <c r="C6" s="3">
        <v>45904</v>
      </c>
      <c r="D6" t="s">
        <v>50</v>
      </c>
      <c r="E6" t="s">
        <v>38</v>
      </c>
      <c r="F6">
        <v>21708</v>
      </c>
      <c r="G6">
        <v>435</v>
      </c>
      <c r="H6">
        <v>317</v>
      </c>
      <c r="I6">
        <v>1213</v>
      </c>
      <c r="J6">
        <v>70701</v>
      </c>
      <c r="K6">
        <v>83585</v>
      </c>
      <c r="L6" t="s">
        <v>43</v>
      </c>
    </row>
    <row r="7" spans="1:12" x14ac:dyDescent="0.35">
      <c r="A7" t="s">
        <v>54</v>
      </c>
      <c r="B7" t="s">
        <v>41</v>
      </c>
      <c r="C7" s="3">
        <v>45905</v>
      </c>
      <c r="D7" t="s">
        <v>37</v>
      </c>
      <c r="E7" t="s">
        <v>18</v>
      </c>
      <c r="F7">
        <v>14677</v>
      </c>
      <c r="G7">
        <v>533</v>
      </c>
      <c r="H7">
        <v>759</v>
      </c>
      <c r="I7">
        <v>753</v>
      </c>
      <c r="J7">
        <v>23275</v>
      </c>
      <c r="K7">
        <v>66958</v>
      </c>
      <c r="L7" t="s">
        <v>43</v>
      </c>
    </row>
    <row r="8" spans="1:12" x14ac:dyDescent="0.35">
      <c r="A8" t="s">
        <v>55</v>
      </c>
      <c r="B8" t="s">
        <v>45</v>
      </c>
      <c r="C8" s="3">
        <v>45467</v>
      </c>
      <c r="D8" t="s">
        <v>56</v>
      </c>
      <c r="E8" t="s">
        <v>57</v>
      </c>
      <c r="F8">
        <v>7713</v>
      </c>
      <c r="G8">
        <v>575</v>
      </c>
      <c r="H8">
        <v>417</v>
      </c>
      <c r="I8">
        <v>336</v>
      </c>
      <c r="J8">
        <v>61660</v>
      </c>
      <c r="K8">
        <v>66017</v>
      </c>
      <c r="L8" t="s">
        <v>52</v>
      </c>
    </row>
    <row r="9" spans="1:12" x14ac:dyDescent="0.35">
      <c r="A9" t="s">
        <v>58</v>
      </c>
      <c r="B9" t="s">
        <v>45</v>
      </c>
      <c r="C9" s="3">
        <v>45486</v>
      </c>
      <c r="D9" t="s">
        <v>50</v>
      </c>
      <c r="E9" t="s">
        <v>59</v>
      </c>
      <c r="F9">
        <v>18639</v>
      </c>
      <c r="G9">
        <v>1360</v>
      </c>
      <c r="H9">
        <v>898</v>
      </c>
      <c r="I9">
        <v>2011</v>
      </c>
      <c r="J9">
        <v>42841</v>
      </c>
      <c r="K9">
        <v>247779</v>
      </c>
      <c r="L9" t="s">
        <v>52</v>
      </c>
    </row>
    <row r="10" spans="1:12" x14ac:dyDescent="0.35">
      <c r="A10" t="s">
        <v>60</v>
      </c>
      <c r="B10" t="s">
        <v>36</v>
      </c>
      <c r="C10" s="3">
        <v>45534</v>
      </c>
      <c r="D10" t="s">
        <v>56</v>
      </c>
      <c r="E10" t="s">
        <v>42</v>
      </c>
      <c r="F10">
        <v>6804</v>
      </c>
      <c r="G10">
        <v>787</v>
      </c>
      <c r="H10">
        <v>970</v>
      </c>
      <c r="I10">
        <v>1095</v>
      </c>
      <c r="J10">
        <v>56343</v>
      </c>
      <c r="K10">
        <v>164677</v>
      </c>
      <c r="L10" t="s">
        <v>39</v>
      </c>
    </row>
    <row r="11" spans="1:12" x14ac:dyDescent="0.35">
      <c r="A11" t="s">
        <v>61</v>
      </c>
      <c r="B11" t="s">
        <v>62</v>
      </c>
      <c r="C11" s="3">
        <v>45727</v>
      </c>
      <c r="D11" t="s">
        <v>50</v>
      </c>
      <c r="E11" t="s">
        <v>63</v>
      </c>
      <c r="F11">
        <v>20222</v>
      </c>
      <c r="G11">
        <v>712</v>
      </c>
      <c r="H11">
        <v>604</v>
      </c>
      <c r="I11">
        <v>1272</v>
      </c>
      <c r="J11">
        <v>71598</v>
      </c>
      <c r="K11">
        <v>216422</v>
      </c>
      <c r="L11" t="s">
        <v>48</v>
      </c>
    </row>
    <row r="12" spans="1:12" x14ac:dyDescent="0.35">
      <c r="A12" t="s">
        <v>64</v>
      </c>
      <c r="B12" t="s">
        <v>36</v>
      </c>
      <c r="C12" s="3">
        <v>45690</v>
      </c>
      <c r="D12" t="s">
        <v>56</v>
      </c>
      <c r="E12" t="s">
        <v>51</v>
      </c>
      <c r="F12">
        <v>12136</v>
      </c>
      <c r="G12">
        <v>1117</v>
      </c>
      <c r="H12">
        <v>834</v>
      </c>
      <c r="I12">
        <v>892</v>
      </c>
      <c r="J12">
        <v>24675</v>
      </c>
      <c r="K12">
        <v>183273</v>
      </c>
      <c r="L12" t="s">
        <v>48</v>
      </c>
    </row>
    <row r="13" spans="1:12" x14ac:dyDescent="0.35">
      <c r="A13" t="s">
        <v>65</v>
      </c>
      <c r="B13" t="s">
        <v>36</v>
      </c>
      <c r="C13" s="3">
        <v>45494</v>
      </c>
      <c r="D13" t="s">
        <v>46</v>
      </c>
      <c r="E13" t="s">
        <v>42</v>
      </c>
      <c r="F13">
        <v>2009</v>
      </c>
      <c r="G13">
        <v>1072</v>
      </c>
      <c r="H13">
        <v>550</v>
      </c>
      <c r="I13">
        <v>1437</v>
      </c>
      <c r="J13">
        <v>22982</v>
      </c>
      <c r="K13">
        <v>69426</v>
      </c>
      <c r="L13" t="s">
        <v>52</v>
      </c>
    </row>
    <row r="14" spans="1:12" x14ac:dyDescent="0.35">
      <c r="A14" t="s">
        <v>66</v>
      </c>
      <c r="B14" t="s">
        <v>36</v>
      </c>
      <c r="C14" s="3">
        <v>45614</v>
      </c>
      <c r="D14" t="s">
        <v>56</v>
      </c>
      <c r="E14" t="s">
        <v>57</v>
      </c>
      <c r="F14">
        <v>21255</v>
      </c>
      <c r="G14">
        <v>1452</v>
      </c>
      <c r="H14">
        <v>625</v>
      </c>
      <c r="I14">
        <v>1624</v>
      </c>
      <c r="J14">
        <v>21282</v>
      </c>
      <c r="K14">
        <v>57778</v>
      </c>
      <c r="L14" t="s">
        <v>67</v>
      </c>
    </row>
    <row r="15" spans="1:12" x14ac:dyDescent="0.35">
      <c r="A15" t="s">
        <v>68</v>
      </c>
      <c r="B15" t="s">
        <v>36</v>
      </c>
      <c r="C15" s="3">
        <v>45906</v>
      </c>
      <c r="D15" t="s">
        <v>46</v>
      </c>
      <c r="E15" t="s">
        <v>59</v>
      </c>
      <c r="F15">
        <v>7124</v>
      </c>
      <c r="G15">
        <v>469</v>
      </c>
      <c r="H15">
        <v>851</v>
      </c>
      <c r="I15">
        <v>2571</v>
      </c>
      <c r="J15">
        <v>33802</v>
      </c>
      <c r="K15">
        <v>216313</v>
      </c>
      <c r="L15" t="s">
        <v>43</v>
      </c>
    </row>
    <row r="16" spans="1:12" x14ac:dyDescent="0.35">
      <c r="A16" t="s">
        <v>69</v>
      </c>
      <c r="B16" t="s">
        <v>41</v>
      </c>
      <c r="C16" s="3">
        <v>45907</v>
      </c>
      <c r="D16" t="s">
        <v>46</v>
      </c>
      <c r="E16" t="s">
        <v>47</v>
      </c>
      <c r="F16">
        <v>3015</v>
      </c>
      <c r="G16">
        <v>997</v>
      </c>
      <c r="H16">
        <v>783</v>
      </c>
      <c r="I16">
        <v>617</v>
      </c>
      <c r="J16">
        <v>77167</v>
      </c>
      <c r="K16">
        <v>82229</v>
      </c>
      <c r="L16" t="s">
        <v>43</v>
      </c>
    </row>
    <row r="17" spans="1:12" x14ac:dyDescent="0.35">
      <c r="A17" t="s">
        <v>70</v>
      </c>
      <c r="B17" t="s">
        <v>45</v>
      </c>
      <c r="C17" s="3">
        <v>45530</v>
      </c>
      <c r="D17" t="s">
        <v>56</v>
      </c>
      <c r="E17" t="s">
        <v>59</v>
      </c>
      <c r="F17">
        <v>4193</v>
      </c>
      <c r="G17">
        <v>924</v>
      </c>
      <c r="H17">
        <v>707</v>
      </c>
      <c r="I17">
        <v>2696</v>
      </c>
      <c r="J17">
        <v>55075</v>
      </c>
      <c r="K17">
        <v>126652</v>
      </c>
      <c r="L17" t="s">
        <v>52</v>
      </c>
    </row>
    <row r="18" spans="1:12" x14ac:dyDescent="0.35">
      <c r="A18" t="s">
        <v>71</v>
      </c>
      <c r="B18" t="s">
        <v>41</v>
      </c>
      <c r="C18" s="3">
        <v>45782</v>
      </c>
      <c r="D18" t="s">
        <v>46</v>
      </c>
      <c r="E18" t="s">
        <v>72</v>
      </c>
      <c r="F18">
        <v>10415</v>
      </c>
      <c r="G18">
        <v>1388</v>
      </c>
      <c r="H18">
        <v>725</v>
      </c>
      <c r="I18">
        <v>2462</v>
      </c>
      <c r="J18">
        <v>53082</v>
      </c>
      <c r="K18">
        <v>168267</v>
      </c>
      <c r="L18" t="s">
        <v>67</v>
      </c>
    </row>
    <row r="19" spans="1:12" x14ac:dyDescent="0.35">
      <c r="A19" t="s">
        <v>73</v>
      </c>
      <c r="B19" t="s">
        <v>41</v>
      </c>
      <c r="C19" s="3">
        <v>45523</v>
      </c>
      <c r="D19" t="s">
        <v>37</v>
      </c>
      <c r="E19" t="s">
        <v>59</v>
      </c>
      <c r="F19">
        <v>15550</v>
      </c>
      <c r="G19">
        <v>204</v>
      </c>
      <c r="H19">
        <v>279</v>
      </c>
      <c r="I19">
        <v>1646</v>
      </c>
      <c r="J19">
        <v>35819</v>
      </c>
      <c r="K19">
        <v>219436</v>
      </c>
      <c r="L19" t="s">
        <v>39</v>
      </c>
    </row>
    <row r="20" spans="1:12" x14ac:dyDescent="0.35">
      <c r="A20" t="s">
        <v>74</v>
      </c>
      <c r="B20" t="s">
        <v>41</v>
      </c>
      <c r="C20" s="3">
        <v>45466</v>
      </c>
      <c r="D20" t="s">
        <v>46</v>
      </c>
      <c r="E20" t="s">
        <v>72</v>
      </c>
      <c r="F20">
        <v>16512</v>
      </c>
      <c r="G20">
        <v>1050</v>
      </c>
      <c r="H20">
        <v>971</v>
      </c>
      <c r="I20">
        <v>1891</v>
      </c>
      <c r="J20">
        <v>15865</v>
      </c>
      <c r="K20">
        <v>166503</v>
      </c>
      <c r="L20" t="s">
        <v>52</v>
      </c>
    </row>
    <row r="21" spans="1:12" x14ac:dyDescent="0.35">
      <c r="A21" t="s">
        <v>75</v>
      </c>
      <c r="B21" t="s">
        <v>36</v>
      </c>
      <c r="C21" s="3">
        <v>45544</v>
      </c>
      <c r="D21" t="s">
        <v>50</v>
      </c>
      <c r="E21" t="s">
        <v>47</v>
      </c>
      <c r="F21">
        <v>6158</v>
      </c>
      <c r="G21">
        <v>277</v>
      </c>
      <c r="H21">
        <v>512</v>
      </c>
      <c r="I21">
        <v>2189</v>
      </c>
      <c r="J21">
        <v>76881</v>
      </c>
      <c r="K21">
        <v>124878</v>
      </c>
      <c r="L21" t="s">
        <v>52</v>
      </c>
    </row>
    <row r="22" spans="1:12" x14ac:dyDescent="0.35">
      <c r="A22" t="s">
        <v>76</v>
      </c>
      <c r="B22" t="s">
        <v>62</v>
      </c>
      <c r="C22" s="3">
        <v>45908</v>
      </c>
      <c r="D22" t="s">
        <v>56</v>
      </c>
      <c r="E22" t="s">
        <v>77</v>
      </c>
      <c r="F22">
        <v>22309</v>
      </c>
      <c r="G22">
        <v>773</v>
      </c>
      <c r="H22">
        <v>854</v>
      </c>
      <c r="I22">
        <v>2387</v>
      </c>
      <c r="J22">
        <v>72396</v>
      </c>
      <c r="K22">
        <v>97056</v>
      </c>
      <c r="L22" t="s">
        <v>43</v>
      </c>
    </row>
    <row r="23" spans="1:12" x14ac:dyDescent="0.35">
      <c r="A23" t="s">
        <v>78</v>
      </c>
      <c r="B23" t="s">
        <v>45</v>
      </c>
      <c r="C23" s="3">
        <v>45715</v>
      </c>
      <c r="D23" t="s">
        <v>37</v>
      </c>
      <c r="E23" t="s">
        <v>57</v>
      </c>
      <c r="F23">
        <v>8970</v>
      </c>
      <c r="G23">
        <v>331</v>
      </c>
      <c r="H23">
        <v>968</v>
      </c>
      <c r="I23">
        <v>2296</v>
      </c>
      <c r="J23">
        <v>24613</v>
      </c>
      <c r="K23">
        <v>198562</v>
      </c>
      <c r="L23" t="s">
        <v>52</v>
      </c>
    </row>
    <row r="24" spans="1:12" x14ac:dyDescent="0.35">
      <c r="A24" t="s">
        <v>79</v>
      </c>
      <c r="B24" t="s">
        <v>62</v>
      </c>
      <c r="C24" s="3">
        <v>45602</v>
      </c>
      <c r="D24" t="s">
        <v>56</v>
      </c>
      <c r="E24" t="s">
        <v>72</v>
      </c>
      <c r="F24">
        <v>8938</v>
      </c>
      <c r="G24">
        <v>800</v>
      </c>
      <c r="H24">
        <v>842</v>
      </c>
      <c r="I24">
        <v>2072</v>
      </c>
      <c r="J24">
        <v>31736</v>
      </c>
      <c r="K24">
        <v>59975</v>
      </c>
      <c r="L24" t="s">
        <v>52</v>
      </c>
    </row>
    <row r="25" spans="1:12" x14ac:dyDescent="0.35">
      <c r="A25" t="s">
        <v>80</v>
      </c>
      <c r="B25" t="s">
        <v>41</v>
      </c>
      <c r="C25" s="3">
        <v>45680</v>
      </c>
      <c r="D25" t="s">
        <v>50</v>
      </c>
      <c r="E25" t="s">
        <v>63</v>
      </c>
      <c r="F25">
        <v>23168</v>
      </c>
      <c r="G25">
        <v>1265</v>
      </c>
      <c r="H25">
        <v>441</v>
      </c>
      <c r="I25">
        <v>1612</v>
      </c>
      <c r="J25">
        <v>66615</v>
      </c>
      <c r="K25">
        <v>197795</v>
      </c>
      <c r="L25" t="s">
        <v>52</v>
      </c>
    </row>
    <row r="26" spans="1:12" x14ac:dyDescent="0.35">
      <c r="A26" t="s">
        <v>81</v>
      </c>
      <c r="B26" t="s">
        <v>41</v>
      </c>
      <c r="C26" s="3">
        <v>45909</v>
      </c>
      <c r="D26" t="s">
        <v>50</v>
      </c>
      <c r="E26" t="s">
        <v>59</v>
      </c>
      <c r="F26">
        <v>15772</v>
      </c>
      <c r="G26">
        <v>288</v>
      </c>
      <c r="H26">
        <v>520</v>
      </c>
      <c r="I26">
        <v>1585</v>
      </c>
      <c r="J26">
        <v>59182</v>
      </c>
      <c r="K26">
        <v>194351</v>
      </c>
      <c r="L26" t="s">
        <v>43</v>
      </c>
    </row>
    <row r="27" spans="1:12" x14ac:dyDescent="0.35">
      <c r="A27" t="s">
        <v>82</v>
      </c>
      <c r="B27" t="s">
        <v>62</v>
      </c>
      <c r="C27" s="3">
        <v>45752</v>
      </c>
      <c r="D27" t="s">
        <v>50</v>
      </c>
      <c r="E27" t="s">
        <v>59</v>
      </c>
      <c r="F27">
        <v>22384</v>
      </c>
      <c r="G27">
        <v>601</v>
      </c>
      <c r="H27">
        <v>943</v>
      </c>
      <c r="I27">
        <v>515</v>
      </c>
      <c r="J27">
        <v>41309</v>
      </c>
      <c r="K27">
        <v>249373</v>
      </c>
      <c r="L27" t="s">
        <v>39</v>
      </c>
    </row>
    <row r="28" spans="1:12" x14ac:dyDescent="0.35">
      <c r="A28" t="s">
        <v>83</v>
      </c>
      <c r="B28" t="s">
        <v>62</v>
      </c>
      <c r="C28" s="3">
        <v>45552</v>
      </c>
      <c r="D28" t="s">
        <v>46</v>
      </c>
      <c r="E28" t="s">
        <v>63</v>
      </c>
      <c r="F28">
        <v>20017</v>
      </c>
      <c r="G28">
        <v>495</v>
      </c>
      <c r="H28">
        <v>178</v>
      </c>
      <c r="I28">
        <v>2683</v>
      </c>
      <c r="J28">
        <v>32244</v>
      </c>
      <c r="K28">
        <v>182633</v>
      </c>
      <c r="L28" t="s">
        <v>39</v>
      </c>
    </row>
    <row r="29" spans="1:12" x14ac:dyDescent="0.35">
      <c r="A29" t="s">
        <v>84</v>
      </c>
      <c r="B29" t="s">
        <v>62</v>
      </c>
      <c r="C29" s="3">
        <v>45720</v>
      </c>
      <c r="D29" t="s">
        <v>46</v>
      </c>
      <c r="E29" t="s">
        <v>18</v>
      </c>
      <c r="F29">
        <v>12344</v>
      </c>
      <c r="G29">
        <v>815</v>
      </c>
      <c r="H29">
        <v>298</v>
      </c>
      <c r="I29">
        <v>2439</v>
      </c>
      <c r="J29">
        <v>6259</v>
      </c>
      <c r="K29">
        <v>237133</v>
      </c>
      <c r="L29" t="s">
        <v>52</v>
      </c>
    </row>
    <row r="30" spans="1:12" x14ac:dyDescent="0.35">
      <c r="A30" t="s">
        <v>85</v>
      </c>
      <c r="B30" t="s">
        <v>41</v>
      </c>
      <c r="C30" s="3">
        <v>45910</v>
      </c>
      <c r="D30" t="s">
        <v>56</v>
      </c>
      <c r="E30" t="s">
        <v>17</v>
      </c>
      <c r="F30">
        <v>9266</v>
      </c>
      <c r="G30">
        <v>999</v>
      </c>
      <c r="H30">
        <v>928</v>
      </c>
      <c r="I30">
        <v>2700</v>
      </c>
      <c r="J30">
        <v>12264</v>
      </c>
      <c r="K30">
        <v>128397</v>
      </c>
      <c r="L30" t="s">
        <v>43</v>
      </c>
    </row>
    <row r="31" spans="1:12" x14ac:dyDescent="0.35">
      <c r="A31" t="s">
        <v>86</v>
      </c>
      <c r="B31" t="s">
        <v>41</v>
      </c>
      <c r="C31" s="3">
        <v>45713</v>
      </c>
      <c r="D31" t="s">
        <v>56</v>
      </c>
      <c r="E31" t="s">
        <v>77</v>
      </c>
      <c r="F31">
        <v>10702</v>
      </c>
      <c r="G31">
        <v>621</v>
      </c>
      <c r="H31">
        <v>445</v>
      </c>
      <c r="I31">
        <v>2918</v>
      </c>
      <c r="J31">
        <v>54808</v>
      </c>
      <c r="K31">
        <v>220225</v>
      </c>
      <c r="L31" t="s">
        <v>39</v>
      </c>
    </row>
    <row r="32" spans="1:12" x14ac:dyDescent="0.35">
      <c r="A32" t="s">
        <v>87</v>
      </c>
      <c r="B32" t="s">
        <v>45</v>
      </c>
      <c r="C32" s="3">
        <v>45642</v>
      </c>
      <c r="D32" t="s">
        <v>37</v>
      </c>
      <c r="E32" t="s">
        <v>51</v>
      </c>
      <c r="F32">
        <v>2384</v>
      </c>
      <c r="G32">
        <v>1246</v>
      </c>
      <c r="H32">
        <v>160</v>
      </c>
      <c r="I32">
        <v>2004</v>
      </c>
      <c r="J32">
        <v>2701</v>
      </c>
      <c r="K32">
        <v>73142</v>
      </c>
      <c r="L32" t="s">
        <v>39</v>
      </c>
    </row>
    <row r="33" spans="1:12" x14ac:dyDescent="0.35">
      <c r="A33" t="s">
        <v>88</v>
      </c>
      <c r="B33" t="s">
        <v>45</v>
      </c>
      <c r="C33" s="3">
        <v>45504</v>
      </c>
      <c r="D33" t="s">
        <v>37</v>
      </c>
      <c r="E33" t="s">
        <v>72</v>
      </c>
      <c r="F33">
        <v>2404</v>
      </c>
      <c r="G33">
        <v>774</v>
      </c>
      <c r="H33">
        <v>661</v>
      </c>
      <c r="I33">
        <v>662</v>
      </c>
      <c r="J33">
        <v>12676</v>
      </c>
      <c r="K33">
        <v>66916</v>
      </c>
      <c r="L33" t="s">
        <v>39</v>
      </c>
    </row>
    <row r="34" spans="1:12" x14ac:dyDescent="0.35">
      <c r="A34" t="s">
        <v>89</v>
      </c>
      <c r="B34" t="s">
        <v>41</v>
      </c>
      <c r="C34" s="3">
        <v>45911</v>
      </c>
      <c r="D34" t="s">
        <v>56</v>
      </c>
      <c r="E34" t="s">
        <v>63</v>
      </c>
      <c r="F34">
        <v>10175</v>
      </c>
      <c r="G34">
        <v>342</v>
      </c>
      <c r="H34">
        <v>825</v>
      </c>
      <c r="I34">
        <v>2904</v>
      </c>
      <c r="J34">
        <v>15954</v>
      </c>
      <c r="K34">
        <v>104324</v>
      </c>
      <c r="L34" t="s">
        <v>43</v>
      </c>
    </row>
    <row r="35" spans="1:12" x14ac:dyDescent="0.35">
      <c r="A35" t="s">
        <v>90</v>
      </c>
      <c r="B35" t="s">
        <v>62</v>
      </c>
      <c r="C35" s="3">
        <v>45912</v>
      </c>
      <c r="D35" t="s">
        <v>46</v>
      </c>
      <c r="E35" t="s">
        <v>47</v>
      </c>
      <c r="F35">
        <v>17158</v>
      </c>
      <c r="G35">
        <v>1192</v>
      </c>
      <c r="H35">
        <v>262</v>
      </c>
      <c r="I35">
        <v>2016</v>
      </c>
      <c r="J35">
        <v>28771</v>
      </c>
      <c r="K35">
        <v>216037</v>
      </c>
      <c r="L35" t="s">
        <v>43</v>
      </c>
    </row>
    <row r="36" spans="1:12" x14ac:dyDescent="0.35">
      <c r="A36" t="s">
        <v>91</v>
      </c>
      <c r="B36" t="s">
        <v>62</v>
      </c>
      <c r="C36" s="3">
        <v>45626</v>
      </c>
      <c r="D36" t="s">
        <v>50</v>
      </c>
      <c r="E36" t="s">
        <v>72</v>
      </c>
      <c r="F36">
        <v>14763</v>
      </c>
      <c r="G36">
        <v>864</v>
      </c>
      <c r="H36">
        <v>336</v>
      </c>
      <c r="I36">
        <v>1493</v>
      </c>
      <c r="J36">
        <v>33310</v>
      </c>
      <c r="K36">
        <v>165932</v>
      </c>
      <c r="L36" t="s">
        <v>52</v>
      </c>
    </row>
    <row r="37" spans="1:12" x14ac:dyDescent="0.35">
      <c r="A37" t="s">
        <v>92</v>
      </c>
      <c r="B37" t="s">
        <v>45</v>
      </c>
      <c r="C37" s="3">
        <v>45766</v>
      </c>
      <c r="D37" t="s">
        <v>56</v>
      </c>
      <c r="E37" t="s">
        <v>17</v>
      </c>
      <c r="F37">
        <v>20384</v>
      </c>
      <c r="G37">
        <v>344</v>
      </c>
      <c r="H37">
        <v>956</v>
      </c>
      <c r="I37">
        <v>655</v>
      </c>
      <c r="J37">
        <v>67621</v>
      </c>
      <c r="K37">
        <v>175720</v>
      </c>
      <c r="L37" t="s">
        <v>48</v>
      </c>
    </row>
    <row r="38" spans="1:12" x14ac:dyDescent="0.35">
      <c r="A38" t="s">
        <v>93</v>
      </c>
      <c r="B38" t="s">
        <v>41</v>
      </c>
      <c r="C38" s="3">
        <v>45663</v>
      </c>
      <c r="D38" t="s">
        <v>37</v>
      </c>
      <c r="E38" t="s">
        <v>47</v>
      </c>
      <c r="F38">
        <v>11860</v>
      </c>
      <c r="G38">
        <v>1448</v>
      </c>
      <c r="H38">
        <v>893</v>
      </c>
      <c r="I38">
        <v>490</v>
      </c>
      <c r="J38">
        <v>23518</v>
      </c>
      <c r="K38">
        <v>206205</v>
      </c>
      <c r="L38" t="s">
        <v>39</v>
      </c>
    </row>
    <row r="39" spans="1:12" x14ac:dyDescent="0.35">
      <c r="A39" t="s">
        <v>94</v>
      </c>
      <c r="B39" t="s">
        <v>45</v>
      </c>
      <c r="C39" s="3">
        <v>45705</v>
      </c>
      <c r="D39" t="s">
        <v>46</v>
      </c>
      <c r="E39" t="s">
        <v>42</v>
      </c>
      <c r="F39">
        <v>7989</v>
      </c>
      <c r="G39">
        <v>1206</v>
      </c>
      <c r="H39">
        <v>376</v>
      </c>
      <c r="I39">
        <v>2769</v>
      </c>
      <c r="J39">
        <v>27550</v>
      </c>
      <c r="K39">
        <v>221749</v>
      </c>
      <c r="L39" t="s">
        <v>48</v>
      </c>
    </row>
    <row r="40" spans="1:12" x14ac:dyDescent="0.35">
      <c r="A40" t="s">
        <v>95</v>
      </c>
      <c r="B40" t="s">
        <v>45</v>
      </c>
      <c r="C40" s="3">
        <v>45913</v>
      </c>
      <c r="D40" t="s">
        <v>56</v>
      </c>
      <c r="E40" t="s">
        <v>57</v>
      </c>
      <c r="F40">
        <v>17106</v>
      </c>
      <c r="G40">
        <v>702</v>
      </c>
      <c r="H40">
        <v>459</v>
      </c>
      <c r="I40">
        <v>999</v>
      </c>
      <c r="J40">
        <v>59627</v>
      </c>
      <c r="K40">
        <v>136059</v>
      </c>
      <c r="L40" t="s">
        <v>43</v>
      </c>
    </row>
    <row r="41" spans="1:12" x14ac:dyDescent="0.35">
      <c r="A41" t="s">
        <v>96</v>
      </c>
      <c r="B41" t="s">
        <v>36</v>
      </c>
      <c r="C41" s="3">
        <v>45914</v>
      </c>
      <c r="D41" t="s">
        <v>56</v>
      </c>
      <c r="E41" t="s">
        <v>59</v>
      </c>
      <c r="F41">
        <v>19844</v>
      </c>
      <c r="G41">
        <v>1020</v>
      </c>
      <c r="H41">
        <v>247</v>
      </c>
      <c r="I41">
        <v>2354</v>
      </c>
      <c r="J41">
        <v>37792</v>
      </c>
      <c r="K41">
        <v>138317</v>
      </c>
      <c r="L41" t="s">
        <v>43</v>
      </c>
    </row>
    <row r="42" spans="1:12" x14ac:dyDescent="0.35">
      <c r="A42" t="s">
        <v>97</v>
      </c>
      <c r="B42" t="s">
        <v>36</v>
      </c>
      <c r="C42" s="3">
        <v>45915</v>
      </c>
      <c r="D42" t="s">
        <v>46</v>
      </c>
      <c r="E42" t="s">
        <v>42</v>
      </c>
      <c r="F42">
        <v>5636</v>
      </c>
      <c r="G42">
        <v>303</v>
      </c>
      <c r="H42">
        <v>204</v>
      </c>
      <c r="I42">
        <v>2480</v>
      </c>
      <c r="J42">
        <v>7377</v>
      </c>
      <c r="K42">
        <v>241207</v>
      </c>
      <c r="L42" t="s">
        <v>43</v>
      </c>
    </row>
    <row r="43" spans="1:12" x14ac:dyDescent="0.35">
      <c r="A43" t="s">
        <v>98</v>
      </c>
      <c r="B43" t="s">
        <v>36</v>
      </c>
      <c r="C43" s="3">
        <v>45721</v>
      </c>
      <c r="D43" t="s">
        <v>56</v>
      </c>
      <c r="E43" t="s">
        <v>72</v>
      </c>
      <c r="F43">
        <v>12916</v>
      </c>
      <c r="G43">
        <v>1262</v>
      </c>
      <c r="H43">
        <v>772</v>
      </c>
      <c r="I43">
        <v>856</v>
      </c>
      <c r="J43">
        <v>11496</v>
      </c>
      <c r="K43">
        <v>75046</v>
      </c>
      <c r="L43" t="s">
        <v>48</v>
      </c>
    </row>
    <row r="44" spans="1:12" x14ac:dyDescent="0.35">
      <c r="A44" t="s">
        <v>99</v>
      </c>
      <c r="B44" t="s">
        <v>62</v>
      </c>
      <c r="C44" s="3">
        <v>45916</v>
      </c>
      <c r="D44" t="s">
        <v>46</v>
      </c>
      <c r="E44" t="s">
        <v>17</v>
      </c>
      <c r="F44">
        <v>6809</v>
      </c>
      <c r="G44">
        <v>397</v>
      </c>
      <c r="H44">
        <v>813</v>
      </c>
      <c r="I44">
        <v>1125</v>
      </c>
      <c r="J44">
        <v>12206</v>
      </c>
      <c r="K44">
        <v>218136</v>
      </c>
      <c r="L44" t="s">
        <v>43</v>
      </c>
    </row>
    <row r="45" spans="1:12" x14ac:dyDescent="0.35">
      <c r="A45" t="s">
        <v>100</v>
      </c>
      <c r="B45" t="s">
        <v>41</v>
      </c>
      <c r="C45" s="3">
        <v>45718</v>
      </c>
      <c r="D45" t="s">
        <v>50</v>
      </c>
      <c r="E45" t="s">
        <v>77</v>
      </c>
      <c r="F45">
        <v>22562</v>
      </c>
      <c r="G45">
        <v>778</v>
      </c>
      <c r="H45">
        <v>907</v>
      </c>
      <c r="I45">
        <v>1354</v>
      </c>
      <c r="J45">
        <v>34475</v>
      </c>
      <c r="K45">
        <v>141459</v>
      </c>
      <c r="L45" t="s">
        <v>52</v>
      </c>
    </row>
    <row r="46" spans="1:12" x14ac:dyDescent="0.35">
      <c r="A46" t="s">
        <v>101</v>
      </c>
      <c r="B46" t="s">
        <v>41</v>
      </c>
      <c r="C46" s="3">
        <v>45917</v>
      </c>
      <c r="D46" t="s">
        <v>46</v>
      </c>
      <c r="E46" t="s">
        <v>57</v>
      </c>
      <c r="F46">
        <v>15456</v>
      </c>
      <c r="G46">
        <v>590</v>
      </c>
      <c r="H46">
        <v>555</v>
      </c>
      <c r="I46">
        <v>2882</v>
      </c>
      <c r="J46">
        <v>49816</v>
      </c>
      <c r="K46">
        <v>240422</v>
      </c>
      <c r="L46" t="s">
        <v>43</v>
      </c>
    </row>
    <row r="47" spans="1:12" x14ac:dyDescent="0.35">
      <c r="A47" t="s">
        <v>102</v>
      </c>
      <c r="B47" t="s">
        <v>41</v>
      </c>
      <c r="C47" s="3">
        <v>45779</v>
      </c>
      <c r="D47" t="s">
        <v>46</v>
      </c>
      <c r="E47" t="s">
        <v>72</v>
      </c>
      <c r="F47">
        <v>17444</v>
      </c>
      <c r="G47">
        <v>1402</v>
      </c>
      <c r="H47">
        <v>218</v>
      </c>
      <c r="I47">
        <v>725</v>
      </c>
      <c r="J47">
        <v>8710</v>
      </c>
      <c r="K47">
        <v>85893</v>
      </c>
      <c r="L47" t="s">
        <v>67</v>
      </c>
    </row>
    <row r="48" spans="1:12" x14ac:dyDescent="0.35">
      <c r="A48" t="s">
        <v>103</v>
      </c>
      <c r="B48" t="s">
        <v>41</v>
      </c>
      <c r="C48" s="3">
        <v>45712</v>
      </c>
      <c r="D48" t="s">
        <v>46</v>
      </c>
      <c r="E48" t="s">
        <v>63</v>
      </c>
      <c r="F48">
        <v>24984</v>
      </c>
      <c r="G48">
        <v>753</v>
      </c>
      <c r="H48">
        <v>461</v>
      </c>
      <c r="I48">
        <v>2710</v>
      </c>
      <c r="J48">
        <v>20792</v>
      </c>
      <c r="K48">
        <v>141520</v>
      </c>
      <c r="L48" t="s">
        <v>48</v>
      </c>
    </row>
    <row r="49" spans="1:12" x14ac:dyDescent="0.35">
      <c r="A49" t="s">
        <v>104</v>
      </c>
      <c r="B49" t="s">
        <v>36</v>
      </c>
      <c r="C49" s="3">
        <v>45727</v>
      </c>
      <c r="D49" t="s">
        <v>56</v>
      </c>
      <c r="E49" t="s">
        <v>38</v>
      </c>
      <c r="F49">
        <v>7997</v>
      </c>
      <c r="G49">
        <v>1238</v>
      </c>
      <c r="H49">
        <v>438</v>
      </c>
      <c r="I49">
        <v>1874</v>
      </c>
      <c r="J49">
        <v>36272</v>
      </c>
      <c r="K49">
        <v>165818</v>
      </c>
      <c r="L49" t="s">
        <v>67</v>
      </c>
    </row>
    <row r="50" spans="1:12" x14ac:dyDescent="0.35">
      <c r="A50" t="s">
        <v>105</v>
      </c>
      <c r="B50" t="s">
        <v>62</v>
      </c>
      <c r="C50" s="3">
        <v>45918</v>
      </c>
      <c r="D50" t="s">
        <v>56</v>
      </c>
      <c r="E50" t="s">
        <v>72</v>
      </c>
      <c r="F50">
        <v>4048</v>
      </c>
      <c r="G50">
        <v>677</v>
      </c>
      <c r="H50">
        <v>911</v>
      </c>
      <c r="I50">
        <v>2429</v>
      </c>
      <c r="J50">
        <v>27361</v>
      </c>
      <c r="K50">
        <v>101272</v>
      </c>
      <c r="L50" t="s">
        <v>43</v>
      </c>
    </row>
    <row r="51" spans="1:12" x14ac:dyDescent="0.35">
      <c r="A51" t="s">
        <v>106</v>
      </c>
      <c r="B51" t="s">
        <v>62</v>
      </c>
      <c r="C51" s="3">
        <v>45476</v>
      </c>
      <c r="D51" t="s">
        <v>46</v>
      </c>
      <c r="E51" t="s">
        <v>57</v>
      </c>
      <c r="F51">
        <v>14338</v>
      </c>
      <c r="G51">
        <v>1454</v>
      </c>
      <c r="H51">
        <v>697</v>
      </c>
      <c r="I51">
        <v>2703</v>
      </c>
      <c r="J51">
        <v>21288</v>
      </c>
      <c r="K51">
        <v>107649</v>
      </c>
      <c r="L51" t="s">
        <v>52</v>
      </c>
    </row>
    <row r="52" spans="1:12" x14ac:dyDescent="0.35">
      <c r="A52" t="s">
        <v>107</v>
      </c>
      <c r="B52" t="s">
        <v>36</v>
      </c>
      <c r="C52" s="3">
        <v>45456</v>
      </c>
      <c r="D52" t="s">
        <v>56</v>
      </c>
      <c r="E52" t="s">
        <v>59</v>
      </c>
      <c r="F52">
        <v>23164</v>
      </c>
      <c r="G52">
        <v>1122</v>
      </c>
      <c r="H52">
        <v>900</v>
      </c>
      <c r="I52">
        <v>888</v>
      </c>
      <c r="J52">
        <v>36938</v>
      </c>
      <c r="K52">
        <v>104674</v>
      </c>
      <c r="L52" t="s">
        <v>39</v>
      </c>
    </row>
    <row r="53" spans="1:12" x14ac:dyDescent="0.35">
      <c r="A53" t="s">
        <v>108</v>
      </c>
      <c r="B53" t="s">
        <v>62</v>
      </c>
      <c r="C53" s="3">
        <v>45919</v>
      </c>
      <c r="D53" t="s">
        <v>37</v>
      </c>
      <c r="E53" t="s">
        <v>59</v>
      </c>
      <c r="F53">
        <v>19100</v>
      </c>
      <c r="G53">
        <v>619</v>
      </c>
      <c r="H53">
        <v>297</v>
      </c>
      <c r="I53">
        <v>2312</v>
      </c>
      <c r="J53">
        <v>9730</v>
      </c>
      <c r="K53">
        <v>184832</v>
      </c>
      <c r="L53" t="s">
        <v>43</v>
      </c>
    </row>
    <row r="54" spans="1:12" x14ac:dyDescent="0.35">
      <c r="A54" t="s">
        <v>109</v>
      </c>
      <c r="B54" t="s">
        <v>36</v>
      </c>
      <c r="C54" s="3">
        <v>45712</v>
      </c>
      <c r="D54" t="s">
        <v>37</v>
      </c>
      <c r="E54" t="s">
        <v>72</v>
      </c>
      <c r="F54">
        <v>23949</v>
      </c>
      <c r="G54">
        <v>356</v>
      </c>
      <c r="H54">
        <v>616</v>
      </c>
      <c r="I54">
        <v>1847</v>
      </c>
      <c r="J54">
        <v>3144</v>
      </c>
      <c r="K54">
        <v>192999</v>
      </c>
      <c r="L54" t="s">
        <v>52</v>
      </c>
    </row>
    <row r="55" spans="1:12" x14ac:dyDescent="0.35">
      <c r="A55" t="s">
        <v>110</v>
      </c>
      <c r="B55" t="s">
        <v>41</v>
      </c>
      <c r="C55" s="3">
        <v>45729</v>
      </c>
      <c r="D55" t="s">
        <v>56</v>
      </c>
      <c r="E55" t="s">
        <v>47</v>
      </c>
      <c r="F55">
        <v>6544</v>
      </c>
      <c r="G55">
        <v>749</v>
      </c>
      <c r="H55">
        <v>888</v>
      </c>
      <c r="I55">
        <v>594</v>
      </c>
      <c r="J55">
        <v>18171</v>
      </c>
      <c r="K55">
        <v>126475</v>
      </c>
      <c r="L55" t="s">
        <v>48</v>
      </c>
    </row>
    <row r="56" spans="1:12" x14ac:dyDescent="0.35">
      <c r="A56" t="s">
        <v>111</v>
      </c>
      <c r="B56" t="s">
        <v>36</v>
      </c>
      <c r="C56" s="3">
        <v>45460</v>
      </c>
      <c r="D56" t="s">
        <v>56</v>
      </c>
      <c r="E56" t="s">
        <v>38</v>
      </c>
      <c r="F56">
        <v>6976</v>
      </c>
      <c r="G56">
        <v>1320</v>
      </c>
      <c r="H56">
        <v>393</v>
      </c>
      <c r="I56">
        <v>2285</v>
      </c>
      <c r="J56">
        <v>14049</v>
      </c>
      <c r="K56">
        <v>101367</v>
      </c>
      <c r="L56" t="s">
        <v>67</v>
      </c>
    </row>
    <row r="57" spans="1:12" x14ac:dyDescent="0.35">
      <c r="A57" t="s">
        <v>112</v>
      </c>
      <c r="B57" t="s">
        <v>41</v>
      </c>
      <c r="C57" s="3">
        <v>45644</v>
      </c>
      <c r="D57" t="s">
        <v>46</v>
      </c>
      <c r="E57" t="s">
        <v>63</v>
      </c>
      <c r="F57">
        <v>14775</v>
      </c>
      <c r="G57">
        <v>1220</v>
      </c>
      <c r="H57">
        <v>640</v>
      </c>
      <c r="I57">
        <v>1547</v>
      </c>
      <c r="J57">
        <v>28527</v>
      </c>
      <c r="K57">
        <v>183660</v>
      </c>
      <c r="L57" t="s">
        <v>67</v>
      </c>
    </row>
    <row r="58" spans="1:12" x14ac:dyDescent="0.35">
      <c r="A58" t="s">
        <v>113</v>
      </c>
      <c r="B58" t="s">
        <v>41</v>
      </c>
      <c r="C58" s="3">
        <v>45586</v>
      </c>
      <c r="D58" t="s">
        <v>50</v>
      </c>
      <c r="E58" t="s">
        <v>72</v>
      </c>
      <c r="F58">
        <v>12015</v>
      </c>
      <c r="G58">
        <v>1196</v>
      </c>
      <c r="H58">
        <v>998</v>
      </c>
      <c r="I58">
        <v>1848</v>
      </c>
      <c r="J58">
        <v>44739</v>
      </c>
      <c r="K58">
        <v>161750</v>
      </c>
      <c r="L58" t="s">
        <v>67</v>
      </c>
    </row>
    <row r="59" spans="1:12" x14ac:dyDescent="0.35">
      <c r="A59" t="s">
        <v>114</v>
      </c>
      <c r="B59" t="s">
        <v>45</v>
      </c>
      <c r="C59" s="3">
        <v>45762</v>
      </c>
      <c r="D59" t="s">
        <v>56</v>
      </c>
      <c r="E59" t="s">
        <v>47</v>
      </c>
      <c r="F59">
        <v>5419</v>
      </c>
      <c r="G59">
        <v>1150</v>
      </c>
      <c r="H59">
        <v>656</v>
      </c>
      <c r="I59">
        <v>1990</v>
      </c>
      <c r="J59">
        <v>410</v>
      </c>
      <c r="K59">
        <v>158154</v>
      </c>
      <c r="L59" t="s">
        <v>48</v>
      </c>
    </row>
    <row r="60" spans="1:12" x14ac:dyDescent="0.35">
      <c r="A60" t="s">
        <v>115</v>
      </c>
      <c r="B60" t="s">
        <v>36</v>
      </c>
      <c r="C60" s="3">
        <v>45465</v>
      </c>
      <c r="D60" t="s">
        <v>37</v>
      </c>
      <c r="E60" t="s">
        <v>59</v>
      </c>
      <c r="F60">
        <v>16430</v>
      </c>
      <c r="G60">
        <v>488</v>
      </c>
      <c r="H60">
        <v>514</v>
      </c>
      <c r="I60">
        <v>1436</v>
      </c>
      <c r="J60">
        <v>30059</v>
      </c>
      <c r="K60">
        <v>223305</v>
      </c>
      <c r="L60" t="s">
        <v>52</v>
      </c>
    </row>
    <row r="61" spans="1:12" x14ac:dyDescent="0.35">
      <c r="A61" t="s">
        <v>116</v>
      </c>
      <c r="B61" t="s">
        <v>45</v>
      </c>
      <c r="C61" s="3">
        <v>45685</v>
      </c>
      <c r="D61" t="s">
        <v>46</v>
      </c>
      <c r="E61" t="s">
        <v>59</v>
      </c>
      <c r="F61">
        <v>9239</v>
      </c>
      <c r="G61">
        <v>1477</v>
      </c>
      <c r="H61">
        <v>631</v>
      </c>
      <c r="I61">
        <v>1556</v>
      </c>
      <c r="J61">
        <v>11580</v>
      </c>
      <c r="K61">
        <v>84738</v>
      </c>
      <c r="L61" t="s">
        <v>48</v>
      </c>
    </row>
    <row r="62" spans="1:12" x14ac:dyDescent="0.35">
      <c r="A62" t="s">
        <v>117</v>
      </c>
      <c r="B62" t="s">
        <v>36</v>
      </c>
      <c r="C62" s="3">
        <v>45540</v>
      </c>
      <c r="D62" t="s">
        <v>56</v>
      </c>
      <c r="E62" t="s">
        <v>17</v>
      </c>
      <c r="F62">
        <v>16489</v>
      </c>
      <c r="G62">
        <v>395</v>
      </c>
      <c r="H62">
        <v>350</v>
      </c>
      <c r="I62">
        <v>2364</v>
      </c>
      <c r="J62">
        <v>43239</v>
      </c>
      <c r="K62">
        <v>73397</v>
      </c>
      <c r="L62" t="s">
        <v>67</v>
      </c>
    </row>
    <row r="63" spans="1:12" x14ac:dyDescent="0.35">
      <c r="A63" t="s">
        <v>118</v>
      </c>
      <c r="B63" t="s">
        <v>36</v>
      </c>
      <c r="C63" s="3">
        <v>45920</v>
      </c>
      <c r="D63" t="s">
        <v>37</v>
      </c>
      <c r="E63" t="s">
        <v>72</v>
      </c>
      <c r="F63">
        <v>18633</v>
      </c>
      <c r="G63">
        <v>797</v>
      </c>
      <c r="H63">
        <v>303</v>
      </c>
      <c r="I63">
        <v>659</v>
      </c>
      <c r="J63">
        <v>7</v>
      </c>
      <c r="K63">
        <v>122189</v>
      </c>
      <c r="L63" t="s">
        <v>43</v>
      </c>
    </row>
    <row r="64" spans="1:12" x14ac:dyDescent="0.35">
      <c r="A64" t="s">
        <v>119</v>
      </c>
      <c r="B64" t="s">
        <v>45</v>
      </c>
      <c r="C64" s="3">
        <v>45504</v>
      </c>
      <c r="D64" t="s">
        <v>37</v>
      </c>
      <c r="E64" t="s">
        <v>38</v>
      </c>
      <c r="F64">
        <v>12357</v>
      </c>
      <c r="G64">
        <v>716</v>
      </c>
      <c r="H64">
        <v>599</v>
      </c>
      <c r="I64">
        <v>999</v>
      </c>
      <c r="J64">
        <v>89591</v>
      </c>
      <c r="K64">
        <v>116367</v>
      </c>
      <c r="L64" t="s">
        <v>39</v>
      </c>
    </row>
    <row r="65" spans="1:12" x14ac:dyDescent="0.35">
      <c r="A65" t="s">
        <v>120</v>
      </c>
      <c r="B65" t="s">
        <v>45</v>
      </c>
      <c r="C65" s="3">
        <v>45521</v>
      </c>
      <c r="D65" t="s">
        <v>50</v>
      </c>
      <c r="E65" t="s">
        <v>18</v>
      </c>
      <c r="F65">
        <v>19154</v>
      </c>
      <c r="G65">
        <v>1064</v>
      </c>
      <c r="H65">
        <v>650</v>
      </c>
      <c r="I65">
        <v>747</v>
      </c>
      <c r="J65">
        <v>42667</v>
      </c>
      <c r="K65">
        <v>242332</v>
      </c>
      <c r="L65" t="s">
        <v>48</v>
      </c>
    </row>
    <row r="66" spans="1:12" x14ac:dyDescent="0.35">
      <c r="A66" t="s">
        <v>121</v>
      </c>
      <c r="B66" t="s">
        <v>36</v>
      </c>
      <c r="C66" s="3">
        <v>45744</v>
      </c>
      <c r="D66" t="s">
        <v>46</v>
      </c>
      <c r="E66" t="s">
        <v>38</v>
      </c>
      <c r="F66">
        <v>6363</v>
      </c>
      <c r="G66">
        <v>1341</v>
      </c>
      <c r="H66">
        <v>222</v>
      </c>
      <c r="I66">
        <v>2712</v>
      </c>
      <c r="J66">
        <v>19987</v>
      </c>
      <c r="K66">
        <v>160585</v>
      </c>
      <c r="L66" t="s">
        <v>48</v>
      </c>
    </row>
    <row r="67" spans="1:12" x14ac:dyDescent="0.35">
      <c r="A67" t="s">
        <v>122</v>
      </c>
      <c r="B67" t="s">
        <v>62</v>
      </c>
      <c r="C67" s="3">
        <v>45499</v>
      </c>
      <c r="D67" t="s">
        <v>46</v>
      </c>
      <c r="E67" t="s">
        <v>59</v>
      </c>
      <c r="F67">
        <v>12176</v>
      </c>
      <c r="G67">
        <v>1005</v>
      </c>
      <c r="H67">
        <v>862</v>
      </c>
      <c r="I67">
        <v>974</v>
      </c>
      <c r="J67">
        <v>2285</v>
      </c>
      <c r="K67">
        <v>116619</v>
      </c>
      <c r="L67" t="s">
        <v>52</v>
      </c>
    </row>
    <row r="68" spans="1:12" x14ac:dyDescent="0.35">
      <c r="A68" t="s">
        <v>123</v>
      </c>
      <c r="B68" t="s">
        <v>41</v>
      </c>
      <c r="C68" s="3">
        <v>45745</v>
      </c>
      <c r="D68" t="s">
        <v>50</v>
      </c>
      <c r="E68" t="s">
        <v>59</v>
      </c>
      <c r="F68">
        <v>19461</v>
      </c>
      <c r="G68">
        <v>1382</v>
      </c>
      <c r="H68">
        <v>445</v>
      </c>
      <c r="I68">
        <v>1307</v>
      </c>
      <c r="J68">
        <v>84691</v>
      </c>
      <c r="K68">
        <v>151453</v>
      </c>
      <c r="L68" t="s">
        <v>52</v>
      </c>
    </row>
    <row r="69" spans="1:12" x14ac:dyDescent="0.35">
      <c r="A69" t="s">
        <v>124</v>
      </c>
      <c r="B69" t="s">
        <v>45</v>
      </c>
      <c r="C69" s="3">
        <v>45634</v>
      </c>
      <c r="D69" t="s">
        <v>50</v>
      </c>
      <c r="E69" t="s">
        <v>42</v>
      </c>
      <c r="F69">
        <v>10427</v>
      </c>
      <c r="G69">
        <v>1014</v>
      </c>
      <c r="H69">
        <v>166</v>
      </c>
      <c r="I69">
        <v>1649</v>
      </c>
      <c r="J69">
        <v>15145</v>
      </c>
      <c r="K69">
        <v>59816</v>
      </c>
      <c r="L69" t="s">
        <v>48</v>
      </c>
    </row>
    <row r="70" spans="1:12" x14ac:dyDescent="0.35">
      <c r="A70" t="s">
        <v>125</v>
      </c>
      <c r="B70" t="s">
        <v>41</v>
      </c>
      <c r="C70" s="3">
        <v>45724</v>
      </c>
      <c r="D70" t="s">
        <v>46</v>
      </c>
      <c r="E70" t="s">
        <v>59</v>
      </c>
      <c r="F70">
        <v>10580</v>
      </c>
      <c r="G70">
        <v>427</v>
      </c>
      <c r="H70">
        <v>790</v>
      </c>
      <c r="I70">
        <v>2814</v>
      </c>
      <c r="J70">
        <v>24916</v>
      </c>
      <c r="K70">
        <v>213312</v>
      </c>
      <c r="L70" t="s">
        <v>67</v>
      </c>
    </row>
    <row r="71" spans="1:12" x14ac:dyDescent="0.35">
      <c r="A71" t="s">
        <v>126</v>
      </c>
      <c r="B71" t="s">
        <v>62</v>
      </c>
      <c r="C71" s="3">
        <v>45749</v>
      </c>
      <c r="D71" t="s">
        <v>46</v>
      </c>
      <c r="E71" t="s">
        <v>63</v>
      </c>
      <c r="F71">
        <v>6858</v>
      </c>
      <c r="G71">
        <v>415</v>
      </c>
      <c r="H71">
        <v>366</v>
      </c>
      <c r="I71">
        <v>2761</v>
      </c>
      <c r="J71">
        <v>2988</v>
      </c>
      <c r="K71">
        <v>177348</v>
      </c>
      <c r="L71" t="s">
        <v>39</v>
      </c>
    </row>
    <row r="72" spans="1:12" x14ac:dyDescent="0.35">
      <c r="A72" t="s">
        <v>127</v>
      </c>
      <c r="B72" t="s">
        <v>62</v>
      </c>
      <c r="C72" s="3">
        <v>45537</v>
      </c>
      <c r="D72" t="s">
        <v>56</v>
      </c>
      <c r="E72" t="s">
        <v>51</v>
      </c>
      <c r="F72">
        <v>12040</v>
      </c>
      <c r="G72">
        <v>1147</v>
      </c>
      <c r="H72">
        <v>210</v>
      </c>
      <c r="I72">
        <v>885</v>
      </c>
      <c r="J72">
        <v>30360</v>
      </c>
      <c r="K72">
        <v>119530</v>
      </c>
      <c r="L72" t="s">
        <v>52</v>
      </c>
    </row>
    <row r="73" spans="1:12" x14ac:dyDescent="0.35">
      <c r="A73" t="s">
        <v>128</v>
      </c>
      <c r="B73" t="s">
        <v>62</v>
      </c>
      <c r="C73" s="3">
        <v>45719</v>
      </c>
      <c r="D73" t="s">
        <v>56</v>
      </c>
      <c r="E73" t="s">
        <v>72</v>
      </c>
      <c r="F73">
        <v>24928</v>
      </c>
      <c r="G73">
        <v>214</v>
      </c>
      <c r="H73">
        <v>765</v>
      </c>
      <c r="I73">
        <v>1556</v>
      </c>
      <c r="J73">
        <v>5239</v>
      </c>
      <c r="K73">
        <v>194571</v>
      </c>
      <c r="L73" t="s">
        <v>67</v>
      </c>
    </row>
    <row r="74" spans="1:12" x14ac:dyDescent="0.35">
      <c r="A74" t="s">
        <v>129</v>
      </c>
      <c r="B74" t="s">
        <v>45</v>
      </c>
      <c r="C74" s="3">
        <v>45921</v>
      </c>
      <c r="D74" t="s">
        <v>50</v>
      </c>
      <c r="E74" t="s">
        <v>38</v>
      </c>
      <c r="F74">
        <v>23103</v>
      </c>
      <c r="G74">
        <v>1380</v>
      </c>
      <c r="H74">
        <v>191</v>
      </c>
      <c r="I74">
        <v>1547</v>
      </c>
      <c r="J74">
        <v>77798</v>
      </c>
      <c r="K74">
        <v>148856</v>
      </c>
      <c r="L74" t="s">
        <v>43</v>
      </c>
    </row>
    <row r="75" spans="1:12" x14ac:dyDescent="0.35">
      <c r="A75" t="s">
        <v>130</v>
      </c>
      <c r="B75" t="s">
        <v>62</v>
      </c>
      <c r="C75" s="3">
        <v>45593</v>
      </c>
      <c r="D75" t="s">
        <v>56</v>
      </c>
      <c r="E75" t="s">
        <v>51</v>
      </c>
      <c r="F75">
        <v>21198</v>
      </c>
      <c r="G75">
        <v>1484</v>
      </c>
      <c r="H75">
        <v>174</v>
      </c>
      <c r="I75">
        <v>1293</v>
      </c>
      <c r="J75">
        <v>16330</v>
      </c>
      <c r="K75">
        <v>111635</v>
      </c>
      <c r="L75" t="s">
        <v>52</v>
      </c>
    </row>
    <row r="76" spans="1:12" x14ac:dyDescent="0.35">
      <c r="A76" t="s">
        <v>131</v>
      </c>
      <c r="B76" t="s">
        <v>45</v>
      </c>
      <c r="C76" s="3">
        <v>45505</v>
      </c>
      <c r="D76" t="s">
        <v>37</v>
      </c>
      <c r="E76" t="s">
        <v>47</v>
      </c>
      <c r="F76">
        <v>21758</v>
      </c>
      <c r="G76">
        <v>1380</v>
      </c>
      <c r="H76">
        <v>188</v>
      </c>
      <c r="I76">
        <v>1735</v>
      </c>
      <c r="J76">
        <v>20998</v>
      </c>
      <c r="K76">
        <v>147803</v>
      </c>
      <c r="L76" t="s">
        <v>67</v>
      </c>
    </row>
    <row r="77" spans="1:12" x14ac:dyDescent="0.35">
      <c r="A77" t="s">
        <v>132</v>
      </c>
      <c r="B77" t="s">
        <v>62</v>
      </c>
      <c r="C77" s="3">
        <v>45603</v>
      </c>
      <c r="D77" t="s">
        <v>56</v>
      </c>
      <c r="E77" t="s">
        <v>18</v>
      </c>
      <c r="F77">
        <v>17254</v>
      </c>
      <c r="G77">
        <v>246</v>
      </c>
      <c r="H77">
        <v>952</v>
      </c>
      <c r="I77">
        <v>871</v>
      </c>
      <c r="J77">
        <v>14957</v>
      </c>
      <c r="K77">
        <v>75946</v>
      </c>
      <c r="L77" t="s">
        <v>67</v>
      </c>
    </row>
    <row r="78" spans="1:12" x14ac:dyDescent="0.35">
      <c r="A78" t="s">
        <v>133</v>
      </c>
      <c r="B78" t="s">
        <v>41</v>
      </c>
      <c r="C78" s="3">
        <v>45720</v>
      </c>
      <c r="D78" t="s">
        <v>56</v>
      </c>
      <c r="E78" t="s">
        <v>63</v>
      </c>
      <c r="F78">
        <v>13470</v>
      </c>
      <c r="G78">
        <v>523</v>
      </c>
      <c r="H78">
        <v>280</v>
      </c>
      <c r="I78">
        <v>2682</v>
      </c>
      <c r="J78">
        <v>8538</v>
      </c>
      <c r="K78">
        <v>95204</v>
      </c>
      <c r="L78" t="s">
        <v>39</v>
      </c>
    </row>
    <row r="79" spans="1:12" x14ac:dyDescent="0.35">
      <c r="A79" t="s">
        <v>134</v>
      </c>
      <c r="B79" t="s">
        <v>41</v>
      </c>
      <c r="C79" s="3">
        <v>45460</v>
      </c>
      <c r="D79" t="s">
        <v>37</v>
      </c>
      <c r="E79" t="s">
        <v>57</v>
      </c>
      <c r="F79">
        <v>3252</v>
      </c>
      <c r="G79">
        <v>1043</v>
      </c>
      <c r="H79">
        <v>647</v>
      </c>
      <c r="I79">
        <v>1545</v>
      </c>
      <c r="J79">
        <v>18859</v>
      </c>
      <c r="K79">
        <v>222958</v>
      </c>
      <c r="L79" t="s">
        <v>39</v>
      </c>
    </row>
    <row r="80" spans="1:12" x14ac:dyDescent="0.35">
      <c r="A80" t="s">
        <v>135</v>
      </c>
      <c r="B80" t="s">
        <v>36</v>
      </c>
      <c r="C80" s="3">
        <v>45922</v>
      </c>
      <c r="D80" t="s">
        <v>50</v>
      </c>
      <c r="E80" t="s">
        <v>136</v>
      </c>
      <c r="F80">
        <v>8996</v>
      </c>
      <c r="G80">
        <v>329</v>
      </c>
      <c r="H80">
        <v>378</v>
      </c>
      <c r="I80">
        <v>2384</v>
      </c>
      <c r="J80">
        <v>39404</v>
      </c>
      <c r="K80">
        <v>242724</v>
      </c>
      <c r="L80" t="s">
        <v>43</v>
      </c>
    </row>
    <row r="81" spans="1:12" x14ac:dyDescent="0.35">
      <c r="A81" t="s">
        <v>137</v>
      </c>
      <c r="B81" t="s">
        <v>41</v>
      </c>
      <c r="C81" s="3">
        <v>45456</v>
      </c>
      <c r="D81" t="s">
        <v>37</v>
      </c>
      <c r="E81" t="s">
        <v>38</v>
      </c>
      <c r="F81">
        <v>14173</v>
      </c>
      <c r="G81">
        <v>294</v>
      </c>
      <c r="H81">
        <v>257</v>
      </c>
      <c r="I81">
        <v>1288</v>
      </c>
      <c r="J81">
        <v>39466</v>
      </c>
      <c r="K81">
        <v>55563</v>
      </c>
      <c r="L81" t="s">
        <v>67</v>
      </c>
    </row>
    <row r="82" spans="1:12" x14ac:dyDescent="0.35">
      <c r="A82" t="s">
        <v>138</v>
      </c>
      <c r="B82" t="s">
        <v>36</v>
      </c>
      <c r="C82" s="3">
        <v>45584</v>
      </c>
      <c r="D82" t="s">
        <v>56</v>
      </c>
      <c r="E82" t="s">
        <v>51</v>
      </c>
      <c r="F82">
        <v>6673</v>
      </c>
      <c r="G82">
        <v>826</v>
      </c>
      <c r="H82">
        <v>321</v>
      </c>
      <c r="I82">
        <v>577</v>
      </c>
      <c r="J82">
        <v>19262</v>
      </c>
      <c r="K82">
        <v>132324</v>
      </c>
      <c r="L82" t="s">
        <v>67</v>
      </c>
    </row>
    <row r="83" spans="1:12" x14ac:dyDescent="0.35">
      <c r="A83" t="s">
        <v>139</v>
      </c>
      <c r="B83" t="s">
        <v>41</v>
      </c>
      <c r="C83" s="3">
        <v>45497</v>
      </c>
      <c r="D83" t="s">
        <v>50</v>
      </c>
      <c r="E83" t="s">
        <v>57</v>
      </c>
      <c r="F83">
        <v>22914</v>
      </c>
      <c r="G83">
        <v>954</v>
      </c>
      <c r="H83">
        <v>584</v>
      </c>
      <c r="I83">
        <v>1519</v>
      </c>
      <c r="J83">
        <v>13637</v>
      </c>
      <c r="K83">
        <v>49847</v>
      </c>
      <c r="L83" t="s">
        <v>39</v>
      </c>
    </row>
    <row r="84" spans="1:12" x14ac:dyDescent="0.35">
      <c r="A84" t="s">
        <v>140</v>
      </c>
      <c r="B84" t="s">
        <v>45</v>
      </c>
      <c r="C84" s="3">
        <v>45580</v>
      </c>
      <c r="D84" t="s">
        <v>56</v>
      </c>
      <c r="E84" t="s">
        <v>18</v>
      </c>
      <c r="F84">
        <v>17781</v>
      </c>
      <c r="G84">
        <v>993</v>
      </c>
      <c r="H84">
        <v>627</v>
      </c>
      <c r="I84">
        <v>2187</v>
      </c>
      <c r="J84">
        <v>9609</v>
      </c>
      <c r="K84">
        <v>66155</v>
      </c>
      <c r="L84" t="s">
        <v>52</v>
      </c>
    </row>
    <row r="85" spans="1:12" x14ac:dyDescent="0.35">
      <c r="A85" t="s">
        <v>141</v>
      </c>
      <c r="B85" t="s">
        <v>41</v>
      </c>
      <c r="C85" s="3">
        <v>45635</v>
      </c>
      <c r="D85" t="s">
        <v>37</v>
      </c>
      <c r="E85" t="s">
        <v>42</v>
      </c>
      <c r="F85">
        <v>15051</v>
      </c>
      <c r="G85">
        <v>268</v>
      </c>
      <c r="H85">
        <v>251</v>
      </c>
      <c r="I85">
        <v>783</v>
      </c>
      <c r="J85">
        <v>34154</v>
      </c>
      <c r="K85">
        <v>119671</v>
      </c>
      <c r="L85" t="s">
        <v>52</v>
      </c>
    </row>
    <row r="86" spans="1:12" x14ac:dyDescent="0.35">
      <c r="A86" t="s">
        <v>142</v>
      </c>
      <c r="B86" t="s">
        <v>36</v>
      </c>
      <c r="C86" s="3">
        <v>45766</v>
      </c>
      <c r="D86" t="s">
        <v>37</v>
      </c>
      <c r="E86" t="s">
        <v>57</v>
      </c>
      <c r="F86">
        <v>8881</v>
      </c>
      <c r="G86">
        <v>210</v>
      </c>
      <c r="H86">
        <v>673</v>
      </c>
      <c r="I86">
        <v>1565</v>
      </c>
      <c r="J86">
        <v>24847</v>
      </c>
      <c r="K86">
        <v>156891</v>
      </c>
      <c r="L86" t="s">
        <v>48</v>
      </c>
    </row>
    <row r="87" spans="1:12" x14ac:dyDescent="0.35">
      <c r="A87" t="s">
        <v>143</v>
      </c>
      <c r="B87" t="s">
        <v>36</v>
      </c>
      <c r="C87" s="3">
        <v>45684</v>
      </c>
      <c r="D87" t="s">
        <v>56</v>
      </c>
      <c r="E87" t="s">
        <v>63</v>
      </c>
      <c r="F87">
        <v>8949</v>
      </c>
      <c r="G87">
        <v>1477</v>
      </c>
      <c r="H87">
        <v>424</v>
      </c>
      <c r="I87">
        <v>1030</v>
      </c>
      <c r="J87">
        <v>58052</v>
      </c>
      <c r="K87">
        <v>123310</v>
      </c>
      <c r="L87" t="s">
        <v>39</v>
      </c>
    </row>
    <row r="88" spans="1:12" x14ac:dyDescent="0.35">
      <c r="A88" t="s">
        <v>144</v>
      </c>
      <c r="B88" t="s">
        <v>62</v>
      </c>
      <c r="C88" s="3">
        <v>45449</v>
      </c>
      <c r="D88" t="s">
        <v>46</v>
      </c>
      <c r="E88" t="s">
        <v>63</v>
      </c>
      <c r="F88">
        <v>11521</v>
      </c>
      <c r="G88">
        <v>1071</v>
      </c>
      <c r="H88">
        <v>762</v>
      </c>
      <c r="I88">
        <v>2539</v>
      </c>
      <c r="J88">
        <v>12701</v>
      </c>
      <c r="K88">
        <v>238350</v>
      </c>
      <c r="L88" t="s">
        <v>48</v>
      </c>
    </row>
    <row r="89" spans="1:12" x14ac:dyDescent="0.35">
      <c r="A89" t="s">
        <v>145</v>
      </c>
      <c r="B89" t="s">
        <v>45</v>
      </c>
      <c r="C89" s="3">
        <v>45480</v>
      </c>
      <c r="D89" t="s">
        <v>46</v>
      </c>
      <c r="E89" t="s">
        <v>42</v>
      </c>
      <c r="F89">
        <v>24625</v>
      </c>
      <c r="G89">
        <v>749</v>
      </c>
      <c r="H89">
        <v>193</v>
      </c>
      <c r="I89">
        <v>1340</v>
      </c>
      <c r="J89">
        <v>4890</v>
      </c>
      <c r="K89">
        <v>189381</v>
      </c>
      <c r="L89" t="s">
        <v>39</v>
      </c>
    </row>
    <row r="90" spans="1:12" x14ac:dyDescent="0.35">
      <c r="A90" t="s">
        <v>146</v>
      </c>
      <c r="B90" t="s">
        <v>41</v>
      </c>
      <c r="C90" s="3">
        <v>45923</v>
      </c>
      <c r="D90" t="s">
        <v>37</v>
      </c>
      <c r="E90" t="s">
        <v>136</v>
      </c>
      <c r="F90">
        <v>10017</v>
      </c>
      <c r="G90">
        <v>1357</v>
      </c>
      <c r="H90">
        <v>966</v>
      </c>
      <c r="I90">
        <v>2871</v>
      </c>
      <c r="J90">
        <v>14800</v>
      </c>
      <c r="K90">
        <v>171691</v>
      </c>
      <c r="L90" t="s">
        <v>43</v>
      </c>
    </row>
    <row r="91" spans="1:12" x14ac:dyDescent="0.35">
      <c r="A91" t="s">
        <v>147</v>
      </c>
      <c r="B91" t="s">
        <v>62</v>
      </c>
      <c r="C91" s="3">
        <v>45446</v>
      </c>
      <c r="D91" t="s">
        <v>37</v>
      </c>
      <c r="E91" t="s">
        <v>72</v>
      </c>
      <c r="F91">
        <v>8941</v>
      </c>
      <c r="G91">
        <v>911</v>
      </c>
      <c r="H91">
        <v>166</v>
      </c>
      <c r="I91">
        <v>1217</v>
      </c>
      <c r="J91">
        <v>68817</v>
      </c>
      <c r="K91">
        <v>221180</v>
      </c>
      <c r="L91" t="s">
        <v>67</v>
      </c>
    </row>
    <row r="92" spans="1:12" x14ac:dyDescent="0.35">
      <c r="A92" t="s">
        <v>148</v>
      </c>
      <c r="B92" t="s">
        <v>41</v>
      </c>
      <c r="C92" s="3">
        <v>45924</v>
      </c>
      <c r="D92" t="s">
        <v>46</v>
      </c>
      <c r="E92" t="s">
        <v>57</v>
      </c>
      <c r="F92">
        <v>12209</v>
      </c>
      <c r="G92">
        <v>222</v>
      </c>
      <c r="H92">
        <v>479</v>
      </c>
      <c r="I92">
        <v>2748</v>
      </c>
      <c r="J92">
        <v>24615</v>
      </c>
      <c r="K92">
        <v>74707</v>
      </c>
      <c r="L92" t="s">
        <v>43</v>
      </c>
    </row>
    <row r="93" spans="1:12" x14ac:dyDescent="0.35">
      <c r="A93" t="s">
        <v>149</v>
      </c>
      <c r="B93" t="s">
        <v>41</v>
      </c>
      <c r="C93" s="3">
        <v>45586</v>
      </c>
      <c r="D93" t="s">
        <v>46</v>
      </c>
      <c r="E93" t="s">
        <v>42</v>
      </c>
      <c r="F93">
        <v>19715</v>
      </c>
      <c r="G93">
        <v>1014</v>
      </c>
      <c r="H93">
        <v>718</v>
      </c>
      <c r="I93">
        <v>1185</v>
      </c>
      <c r="J93">
        <v>37625</v>
      </c>
      <c r="K93">
        <v>191409</v>
      </c>
      <c r="L93" t="s">
        <v>39</v>
      </c>
    </row>
    <row r="94" spans="1:12" x14ac:dyDescent="0.35">
      <c r="A94" t="s">
        <v>150</v>
      </c>
      <c r="B94" t="s">
        <v>62</v>
      </c>
      <c r="C94" s="3">
        <v>45637</v>
      </c>
      <c r="D94" t="s">
        <v>56</v>
      </c>
      <c r="E94" t="s">
        <v>63</v>
      </c>
      <c r="F94">
        <v>22645</v>
      </c>
      <c r="G94">
        <v>545</v>
      </c>
      <c r="H94">
        <v>972</v>
      </c>
      <c r="I94">
        <v>321</v>
      </c>
      <c r="J94">
        <v>8396</v>
      </c>
      <c r="K94">
        <v>121537</v>
      </c>
      <c r="L94" t="s">
        <v>67</v>
      </c>
    </row>
    <row r="95" spans="1:12" x14ac:dyDescent="0.35">
      <c r="A95" t="s">
        <v>151</v>
      </c>
      <c r="B95" t="s">
        <v>62</v>
      </c>
      <c r="C95" s="3">
        <v>45603</v>
      </c>
      <c r="D95" t="s">
        <v>56</v>
      </c>
      <c r="E95" t="s">
        <v>63</v>
      </c>
      <c r="F95">
        <v>11550</v>
      </c>
      <c r="G95">
        <v>501</v>
      </c>
      <c r="H95">
        <v>646</v>
      </c>
      <c r="I95">
        <v>773</v>
      </c>
      <c r="J95">
        <v>17841</v>
      </c>
      <c r="K95">
        <v>237576</v>
      </c>
      <c r="L95" t="s">
        <v>52</v>
      </c>
    </row>
    <row r="96" spans="1:12" x14ac:dyDescent="0.35">
      <c r="A96" t="s">
        <v>152</v>
      </c>
      <c r="B96" t="s">
        <v>62</v>
      </c>
      <c r="C96" s="3">
        <v>45604</v>
      </c>
      <c r="D96" t="s">
        <v>46</v>
      </c>
      <c r="E96" t="s">
        <v>51</v>
      </c>
      <c r="F96">
        <v>23499</v>
      </c>
      <c r="G96">
        <v>562</v>
      </c>
      <c r="H96">
        <v>964</v>
      </c>
      <c r="I96">
        <v>2557</v>
      </c>
      <c r="J96">
        <v>56890</v>
      </c>
      <c r="K96">
        <v>218686</v>
      </c>
      <c r="L96" t="s">
        <v>52</v>
      </c>
    </row>
    <row r="97" spans="1:12" x14ac:dyDescent="0.35">
      <c r="A97" t="s">
        <v>153</v>
      </c>
      <c r="B97" t="s">
        <v>62</v>
      </c>
      <c r="C97" s="3">
        <v>45545</v>
      </c>
      <c r="D97" t="s">
        <v>56</v>
      </c>
      <c r="E97" t="s">
        <v>59</v>
      </c>
      <c r="F97">
        <v>6637</v>
      </c>
      <c r="G97">
        <v>595</v>
      </c>
      <c r="H97">
        <v>161</v>
      </c>
      <c r="I97">
        <v>2653</v>
      </c>
      <c r="J97">
        <v>19334</v>
      </c>
      <c r="K97">
        <v>131155</v>
      </c>
      <c r="L97" t="s">
        <v>48</v>
      </c>
    </row>
    <row r="98" spans="1:12" x14ac:dyDescent="0.35">
      <c r="A98" t="s">
        <v>154</v>
      </c>
      <c r="B98" t="s">
        <v>62</v>
      </c>
      <c r="C98" s="3">
        <v>45517</v>
      </c>
      <c r="D98" t="s">
        <v>56</v>
      </c>
      <c r="E98" t="s">
        <v>136</v>
      </c>
      <c r="F98">
        <v>6854</v>
      </c>
      <c r="G98">
        <v>417</v>
      </c>
      <c r="H98">
        <v>467</v>
      </c>
      <c r="I98">
        <v>1003</v>
      </c>
      <c r="J98">
        <v>61333</v>
      </c>
      <c r="K98">
        <v>40281</v>
      </c>
      <c r="L98" t="s">
        <v>39</v>
      </c>
    </row>
    <row r="99" spans="1:12" x14ac:dyDescent="0.35">
      <c r="A99" t="s">
        <v>155</v>
      </c>
      <c r="B99" t="s">
        <v>41</v>
      </c>
      <c r="C99" s="3">
        <v>45453</v>
      </c>
      <c r="D99" t="s">
        <v>50</v>
      </c>
      <c r="E99" t="s">
        <v>57</v>
      </c>
      <c r="F99">
        <v>21561</v>
      </c>
      <c r="G99">
        <v>340</v>
      </c>
      <c r="H99">
        <v>741</v>
      </c>
      <c r="I99">
        <v>986</v>
      </c>
      <c r="J99">
        <v>24826</v>
      </c>
      <c r="K99">
        <v>198492</v>
      </c>
      <c r="L99" t="s">
        <v>39</v>
      </c>
    </row>
    <row r="100" spans="1:12" x14ac:dyDescent="0.35">
      <c r="A100" t="s">
        <v>156</v>
      </c>
      <c r="B100" t="s">
        <v>62</v>
      </c>
      <c r="C100" s="3">
        <v>45475</v>
      </c>
      <c r="D100" t="s">
        <v>56</v>
      </c>
      <c r="E100" t="s">
        <v>57</v>
      </c>
      <c r="F100">
        <v>12320</v>
      </c>
      <c r="G100">
        <v>1157</v>
      </c>
      <c r="H100">
        <v>365</v>
      </c>
      <c r="I100">
        <v>584</v>
      </c>
      <c r="J100">
        <v>66634</v>
      </c>
      <c r="K100">
        <v>210102</v>
      </c>
      <c r="L100" t="s">
        <v>52</v>
      </c>
    </row>
    <row r="101" spans="1:12" x14ac:dyDescent="0.35">
      <c r="A101" t="s">
        <v>157</v>
      </c>
      <c r="B101" t="s">
        <v>45</v>
      </c>
      <c r="C101" s="3">
        <v>45925</v>
      </c>
      <c r="D101" t="s">
        <v>37</v>
      </c>
      <c r="E101" t="s">
        <v>18</v>
      </c>
      <c r="F101">
        <v>20564</v>
      </c>
      <c r="G101">
        <v>1433</v>
      </c>
      <c r="H101">
        <v>488</v>
      </c>
      <c r="I101">
        <v>1015</v>
      </c>
      <c r="J101">
        <v>24333</v>
      </c>
      <c r="K101">
        <v>172130</v>
      </c>
      <c r="L101" t="s">
        <v>43</v>
      </c>
    </row>
    <row r="102" spans="1:12" x14ac:dyDescent="0.35">
      <c r="A102" t="s">
        <v>158</v>
      </c>
      <c r="B102" t="s">
        <v>36</v>
      </c>
      <c r="C102" s="3">
        <v>45583</v>
      </c>
      <c r="D102" t="s">
        <v>56</v>
      </c>
      <c r="E102" t="s">
        <v>42</v>
      </c>
      <c r="F102">
        <v>6892</v>
      </c>
      <c r="G102">
        <v>1184</v>
      </c>
      <c r="H102">
        <v>925</v>
      </c>
      <c r="I102">
        <v>1062</v>
      </c>
      <c r="J102">
        <v>75008</v>
      </c>
      <c r="K102">
        <v>116260</v>
      </c>
      <c r="L102" t="s">
        <v>67</v>
      </c>
    </row>
    <row r="103" spans="1:12" x14ac:dyDescent="0.35">
      <c r="A103" t="s">
        <v>159</v>
      </c>
      <c r="B103" t="s">
        <v>62</v>
      </c>
      <c r="C103" s="3">
        <v>45926</v>
      </c>
      <c r="D103" t="s">
        <v>56</v>
      </c>
      <c r="E103" t="s">
        <v>18</v>
      </c>
      <c r="F103">
        <v>9043</v>
      </c>
      <c r="G103">
        <v>1192</v>
      </c>
      <c r="H103">
        <v>810</v>
      </c>
      <c r="I103">
        <v>1550</v>
      </c>
      <c r="J103">
        <v>5221</v>
      </c>
      <c r="K103">
        <v>199476</v>
      </c>
      <c r="L103" t="s">
        <v>43</v>
      </c>
    </row>
    <row r="104" spans="1:12" x14ac:dyDescent="0.35">
      <c r="A104" t="s">
        <v>160</v>
      </c>
      <c r="B104" t="s">
        <v>62</v>
      </c>
      <c r="C104" s="3">
        <v>45927</v>
      </c>
      <c r="D104" t="s">
        <v>46</v>
      </c>
      <c r="E104" t="s">
        <v>42</v>
      </c>
      <c r="F104">
        <v>18521</v>
      </c>
      <c r="G104">
        <v>1027</v>
      </c>
      <c r="H104">
        <v>230</v>
      </c>
      <c r="I104">
        <v>1247</v>
      </c>
      <c r="J104">
        <v>39588</v>
      </c>
      <c r="K104">
        <v>200928</v>
      </c>
      <c r="L104" t="s">
        <v>43</v>
      </c>
    </row>
    <row r="105" spans="1:12" x14ac:dyDescent="0.35">
      <c r="A105" t="s">
        <v>161</v>
      </c>
      <c r="B105" t="s">
        <v>41</v>
      </c>
      <c r="C105" s="3">
        <v>45739</v>
      </c>
      <c r="D105" t="s">
        <v>37</v>
      </c>
      <c r="E105" t="s">
        <v>47</v>
      </c>
      <c r="F105">
        <v>24711</v>
      </c>
      <c r="G105">
        <v>882</v>
      </c>
      <c r="H105">
        <v>876</v>
      </c>
      <c r="I105">
        <v>2728</v>
      </c>
      <c r="J105">
        <v>32015</v>
      </c>
      <c r="K105">
        <v>180272</v>
      </c>
      <c r="L105" t="s">
        <v>52</v>
      </c>
    </row>
    <row r="106" spans="1:12" x14ac:dyDescent="0.35">
      <c r="A106" t="s">
        <v>162</v>
      </c>
      <c r="B106" t="s">
        <v>62</v>
      </c>
      <c r="C106" s="3">
        <v>45457</v>
      </c>
      <c r="D106" t="s">
        <v>56</v>
      </c>
      <c r="E106" t="s">
        <v>63</v>
      </c>
      <c r="F106">
        <v>21856</v>
      </c>
      <c r="G106">
        <v>1203</v>
      </c>
      <c r="H106">
        <v>634</v>
      </c>
      <c r="I106">
        <v>2807</v>
      </c>
      <c r="J106">
        <v>3647</v>
      </c>
      <c r="K106">
        <v>104178</v>
      </c>
      <c r="L106" t="s">
        <v>52</v>
      </c>
    </row>
    <row r="107" spans="1:12" x14ac:dyDescent="0.35">
      <c r="A107" t="s">
        <v>163</v>
      </c>
      <c r="B107" t="s">
        <v>62</v>
      </c>
      <c r="C107" s="3">
        <v>45692</v>
      </c>
      <c r="D107" t="s">
        <v>56</v>
      </c>
      <c r="E107" t="s">
        <v>59</v>
      </c>
      <c r="F107">
        <v>23833</v>
      </c>
      <c r="G107">
        <v>555</v>
      </c>
      <c r="H107">
        <v>523</v>
      </c>
      <c r="I107">
        <v>1330</v>
      </c>
      <c r="J107">
        <v>69141</v>
      </c>
      <c r="K107">
        <v>73997</v>
      </c>
      <c r="L107" t="s">
        <v>52</v>
      </c>
    </row>
    <row r="108" spans="1:12" x14ac:dyDescent="0.35">
      <c r="A108" t="s">
        <v>164</v>
      </c>
      <c r="B108" t="s">
        <v>62</v>
      </c>
      <c r="C108" s="3">
        <v>45464</v>
      </c>
      <c r="D108" t="s">
        <v>50</v>
      </c>
      <c r="E108" t="s">
        <v>51</v>
      </c>
      <c r="F108">
        <v>21216</v>
      </c>
      <c r="G108">
        <v>1207</v>
      </c>
      <c r="H108">
        <v>859</v>
      </c>
      <c r="I108">
        <v>328</v>
      </c>
      <c r="J108">
        <v>91296</v>
      </c>
      <c r="K108">
        <v>196683</v>
      </c>
      <c r="L108" t="s">
        <v>48</v>
      </c>
    </row>
    <row r="109" spans="1:12" x14ac:dyDescent="0.35">
      <c r="A109" t="s">
        <v>165</v>
      </c>
      <c r="B109" t="s">
        <v>41</v>
      </c>
      <c r="C109" s="3">
        <v>45928</v>
      </c>
      <c r="D109" t="s">
        <v>56</v>
      </c>
      <c r="E109" t="s">
        <v>59</v>
      </c>
      <c r="F109">
        <v>21963</v>
      </c>
      <c r="G109">
        <v>1356</v>
      </c>
      <c r="H109">
        <v>349</v>
      </c>
      <c r="I109">
        <v>1206</v>
      </c>
      <c r="J109">
        <v>51755</v>
      </c>
      <c r="K109">
        <v>159273</v>
      </c>
      <c r="L109" t="s">
        <v>43</v>
      </c>
    </row>
    <row r="110" spans="1:12" x14ac:dyDescent="0.35">
      <c r="A110" t="s">
        <v>166</v>
      </c>
      <c r="B110" t="s">
        <v>62</v>
      </c>
      <c r="C110" s="3">
        <v>45512</v>
      </c>
      <c r="D110" t="s">
        <v>56</v>
      </c>
      <c r="E110" t="s">
        <v>59</v>
      </c>
      <c r="F110">
        <v>24355</v>
      </c>
      <c r="G110">
        <v>1087</v>
      </c>
      <c r="H110">
        <v>686</v>
      </c>
      <c r="I110">
        <v>2426</v>
      </c>
      <c r="J110">
        <v>24963</v>
      </c>
      <c r="K110">
        <v>212307</v>
      </c>
      <c r="L110" t="s">
        <v>39</v>
      </c>
    </row>
    <row r="111" spans="1:12" x14ac:dyDescent="0.35">
      <c r="A111" t="s">
        <v>167</v>
      </c>
      <c r="B111" t="s">
        <v>36</v>
      </c>
      <c r="C111" s="3">
        <v>45502</v>
      </c>
      <c r="D111" t="s">
        <v>50</v>
      </c>
      <c r="E111" t="s">
        <v>59</v>
      </c>
      <c r="F111">
        <v>6164</v>
      </c>
      <c r="G111">
        <v>326</v>
      </c>
      <c r="H111">
        <v>615</v>
      </c>
      <c r="I111">
        <v>2806</v>
      </c>
      <c r="J111">
        <v>38579</v>
      </c>
      <c r="K111">
        <v>206129</v>
      </c>
      <c r="L111" t="s">
        <v>67</v>
      </c>
    </row>
    <row r="112" spans="1:12" x14ac:dyDescent="0.35">
      <c r="A112" t="s">
        <v>168</v>
      </c>
      <c r="B112" t="s">
        <v>41</v>
      </c>
      <c r="C112" s="3">
        <v>45619</v>
      </c>
      <c r="D112" t="s">
        <v>46</v>
      </c>
      <c r="E112" t="s">
        <v>18</v>
      </c>
      <c r="F112">
        <v>9941</v>
      </c>
      <c r="G112">
        <v>1329</v>
      </c>
      <c r="H112">
        <v>238</v>
      </c>
      <c r="I112">
        <v>869</v>
      </c>
      <c r="J112">
        <v>40281</v>
      </c>
      <c r="K112">
        <v>172311</v>
      </c>
      <c r="L112" t="s">
        <v>48</v>
      </c>
    </row>
    <row r="113" spans="1:12" x14ac:dyDescent="0.35">
      <c r="A113" t="s">
        <v>169</v>
      </c>
      <c r="B113" t="s">
        <v>36</v>
      </c>
      <c r="C113" s="3">
        <v>45570</v>
      </c>
      <c r="D113" t="s">
        <v>56</v>
      </c>
      <c r="E113" t="s">
        <v>42</v>
      </c>
      <c r="F113">
        <v>16388</v>
      </c>
      <c r="G113">
        <v>1208</v>
      </c>
      <c r="H113">
        <v>417</v>
      </c>
      <c r="I113">
        <v>2306</v>
      </c>
      <c r="J113">
        <v>16865</v>
      </c>
      <c r="K113">
        <v>236733</v>
      </c>
      <c r="L113" t="s">
        <v>39</v>
      </c>
    </row>
    <row r="114" spans="1:12" x14ac:dyDescent="0.35">
      <c r="A114" t="s">
        <v>170</v>
      </c>
      <c r="B114" t="s">
        <v>41</v>
      </c>
      <c r="C114" s="3">
        <v>45929</v>
      </c>
      <c r="D114" t="s">
        <v>50</v>
      </c>
      <c r="E114" t="s">
        <v>77</v>
      </c>
      <c r="F114">
        <v>7569</v>
      </c>
      <c r="G114">
        <v>803</v>
      </c>
      <c r="H114">
        <v>804</v>
      </c>
      <c r="I114">
        <v>1753</v>
      </c>
      <c r="J114">
        <v>43582</v>
      </c>
      <c r="K114">
        <v>166945</v>
      </c>
      <c r="L114" t="s">
        <v>43</v>
      </c>
    </row>
    <row r="115" spans="1:12" x14ac:dyDescent="0.35">
      <c r="A115" t="s">
        <v>171</v>
      </c>
      <c r="B115" t="s">
        <v>62</v>
      </c>
      <c r="C115" s="3">
        <v>45610</v>
      </c>
      <c r="D115" t="s">
        <v>37</v>
      </c>
      <c r="E115" t="s">
        <v>47</v>
      </c>
      <c r="F115">
        <v>6300</v>
      </c>
      <c r="G115">
        <v>1213</v>
      </c>
      <c r="H115">
        <v>720</v>
      </c>
      <c r="I115">
        <v>1037</v>
      </c>
      <c r="J115">
        <v>39569</v>
      </c>
      <c r="K115">
        <v>85272</v>
      </c>
      <c r="L115" t="s">
        <v>52</v>
      </c>
    </row>
    <row r="116" spans="1:12" x14ac:dyDescent="0.35">
      <c r="A116" t="s">
        <v>172</v>
      </c>
      <c r="B116" t="s">
        <v>36</v>
      </c>
      <c r="C116" s="3">
        <v>45930</v>
      </c>
      <c r="D116" t="s">
        <v>46</v>
      </c>
      <c r="E116" t="s">
        <v>38</v>
      </c>
      <c r="F116">
        <v>8269</v>
      </c>
      <c r="G116">
        <v>250</v>
      </c>
      <c r="H116">
        <v>638</v>
      </c>
      <c r="I116">
        <v>815</v>
      </c>
      <c r="J116">
        <v>41991</v>
      </c>
      <c r="K116">
        <v>129393</v>
      </c>
      <c r="L116" t="s">
        <v>43</v>
      </c>
    </row>
    <row r="117" spans="1:12" x14ac:dyDescent="0.35">
      <c r="A117" t="s">
        <v>173</v>
      </c>
      <c r="B117" t="s">
        <v>41</v>
      </c>
      <c r="C117" s="3">
        <v>45734</v>
      </c>
      <c r="D117" t="s">
        <v>37</v>
      </c>
      <c r="E117" t="s">
        <v>59</v>
      </c>
      <c r="F117">
        <v>5818</v>
      </c>
      <c r="G117">
        <v>1252</v>
      </c>
      <c r="H117">
        <v>687</v>
      </c>
      <c r="I117">
        <v>2300</v>
      </c>
      <c r="J117">
        <v>25081</v>
      </c>
      <c r="K117">
        <v>101212</v>
      </c>
      <c r="L117" t="s">
        <v>67</v>
      </c>
    </row>
    <row r="118" spans="1:12" x14ac:dyDescent="0.35">
      <c r="A118" t="s">
        <v>174</v>
      </c>
      <c r="B118" t="s">
        <v>45</v>
      </c>
      <c r="C118" s="3">
        <v>45600</v>
      </c>
      <c r="D118" t="s">
        <v>37</v>
      </c>
      <c r="E118" t="s">
        <v>72</v>
      </c>
      <c r="F118">
        <v>14015</v>
      </c>
      <c r="G118">
        <v>978</v>
      </c>
      <c r="H118">
        <v>196</v>
      </c>
      <c r="I118">
        <v>2744</v>
      </c>
      <c r="J118">
        <v>20190</v>
      </c>
      <c r="K118">
        <v>186470</v>
      </c>
      <c r="L118" t="s">
        <v>48</v>
      </c>
    </row>
    <row r="119" spans="1:12" x14ac:dyDescent="0.35">
      <c r="A119" t="s">
        <v>175</v>
      </c>
      <c r="B119" t="s">
        <v>62</v>
      </c>
      <c r="C119" s="3">
        <v>45600</v>
      </c>
      <c r="D119" t="s">
        <v>50</v>
      </c>
      <c r="E119" t="s">
        <v>18</v>
      </c>
      <c r="F119">
        <v>14234</v>
      </c>
      <c r="G119">
        <v>1013</v>
      </c>
      <c r="H119">
        <v>437</v>
      </c>
      <c r="I119">
        <v>338</v>
      </c>
      <c r="J119">
        <v>67754</v>
      </c>
      <c r="K119">
        <v>160030</v>
      </c>
      <c r="L119" t="s">
        <v>48</v>
      </c>
    </row>
    <row r="120" spans="1:12" x14ac:dyDescent="0.35">
      <c r="A120" t="s">
        <v>176</v>
      </c>
      <c r="B120" t="s">
        <v>41</v>
      </c>
      <c r="C120" s="3">
        <v>45695</v>
      </c>
      <c r="D120" t="s">
        <v>56</v>
      </c>
      <c r="E120" t="s">
        <v>136</v>
      </c>
      <c r="F120">
        <v>20290</v>
      </c>
      <c r="G120">
        <v>619</v>
      </c>
      <c r="H120">
        <v>927</v>
      </c>
      <c r="I120">
        <v>1186</v>
      </c>
      <c r="J120">
        <v>8924</v>
      </c>
      <c r="K120">
        <v>96503</v>
      </c>
      <c r="L120" t="s">
        <v>67</v>
      </c>
    </row>
    <row r="121" spans="1:12" x14ac:dyDescent="0.35">
      <c r="A121" t="s">
        <v>177</v>
      </c>
      <c r="B121" t="s">
        <v>45</v>
      </c>
      <c r="C121" s="3">
        <v>45586</v>
      </c>
      <c r="D121" t="s">
        <v>50</v>
      </c>
      <c r="E121" t="s">
        <v>51</v>
      </c>
      <c r="F121">
        <v>8254</v>
      </c>
      <c r="G121">
        <v>1405</v>
      </c>
      <c r="H121">
        <v>165</v>
      </c>
      <c r="I121">
        <v>2504</v>
      </c>
      <c r="J121">
        <v>8081</v>
      </c>
      <c r="K121">
        <v>177710</v>
      </c>
      <c r="L121" t="s">
        <v>39</v>
      </c>
    </row>
    <row r="122" spans="1:12" x14ac:dyDescent="0.35">
      <c r="A122" t="s">
        <v>178</v>
      </c>
      <c r="B122" t="s">
        <v>41</v>
      </c>
      <c r="C122" s="3">
        <v>45502</v>
      </c>
      <c r="D122" t="s">
        <v>50</v>
      </c>
      <c r="E122" t="s">
        <v>38</v>
      </c>
      <c r="F122">
        <v>19144</v>
      </c>
      <c r="G122">
        <v>1182</v>
      </c>
      <c r="H122">
        <v>860</v>
      </c>
      <c r="I122">
        <v>1398</v>
      </c>
      <c r="J122">
        <v>4185</v>
      </c>
      <c r="K122">
        <v>46570</v>
      </c>
      <c r="L122" t="s">
        <v>39</v>
      </c>
    </row>
    <row r="123" spans="1:12" x14ac:dyDescent="0.35">
      <c r="A123" t="s">
        <v>179</v>
      </c>
      <c r="B123" t="s">
        <v>45</v>
      </c>
      <c r="C123" s="3">
        <v>45567</v>
      </c>
      <c r="D123" t="s">
        <v>50</v>
      </c>
      <c r="E123" t="s">
        <v>77</v>
      </c>
      <c r="F123">
        <v>9350</v>
      </c>
      <c r="G123">
        <v>1024</v>
      </c>
      <c r="H123">
        <v>550</v>
      </c>
      <c r="I123">
        <v>2123</v>
      </c>
      <c r="J123">
        <v>53916</v>
      </c>
      <c r="K123">
        <v>108785</v>
      </c>
      <c r="L123" t="s">
        <v>48</v>
      </c>
    </row>
    <row r="124" spans="1:12" x14ac:dyDescent="0.35">
      <c r="A124" t="s">
        <v>180</v>
      </c>
      <c r="B124" t="s">
        <v>62</v>
      </c>
      <c r="C124" s="3">
        <v>45457</v>
      </c>
      <c r="D124" t="s">
        <v>50</v>
      </c>
      <c r="E124" t="s">
        <v>72</v>
      </c>
      <c r="F124">
        <v>17183</v>
      </c>
      <c r="G124">
        <v>1224</v>
      </c>
      <c r="H124">
        <v>943</v>
      </c>
      <c r="I124">
        <v>2010</v>
      </c>
      <c r="J124">
        <v>21481</v>
      </c>
      <c r="K124">
        <v>49110</v>
      </c>
      <c r="L124" t="s">
        <v>48</v>
      </c>
    </row>
    <row r="125" spans="1:12" x14ac:dyDescent="0.35">
      <c r="A125" t="s">
        <v>181</v>
      </c>
      <c r="B125" t="s">
        <v>36</v>
      </c>
      <c r="C125" s="3">
        <v>45753</v>
      </c>
      <c r="D125" t="s">
        <v>46</v>
      </c>
      <c r="E125" t="s">
        <v>77</v>
      </c>
      <c r="F125">
        <v>8238</v>
      </c>
      <c r="G125">
        <v>766</v>
      </c>
      <c r="H125">
        <v>235</v>
      </c>
      <c r="I125">
        <v>1273</v>
      </c>
      <c r="J125">
        <v>4706</v>
      </c>
      <c r="K125">
        <v>119141</v>
      </c>
      <c r="L125" t="s">
        <v>52</v>
      </c>
    </row>
    <row r="126" spans="1:12" x14ac:dyDescent="0.35">
      <c r="A126" t="s">
        <v>182</v>
      </c>
      <c r="B126" t="s">
        <v>45</v>
      </c>
      <c r="C126" s="3">
        <v>45543</v>
      </c>
      <c r="D126" t="s">
        <v>56</v>
      </c>
      <c r="E126" t="s">
        <v>38</v>
      </c>
      <c r="F126">
        <v>8090</v>
      </c>
      <c r="G126">
        <v>570</v>
      </c>
      <c r="H126">
        <v>399</v>
      </c>
      <c r="I126">
        <v>1862</v>
      </c>
      <c r="J126">
        <v>34088</v>
      </c>
      <c r="K126">
        <v>52115</v>
      </c>
      <c r="L126" t="s">
        <v>39</v>
      </c>
    </row>
    <row r="127" spans="1:12" x14ac:dyDescent="0.35">
      <c r="A127" t="s">
        <v>183</v>
      </c>
      <c r="B127" t="s">
        <v>41</v>
      </c>
      <c r="C127" s="3">
        <v>45744</v>
      </c>
      <c r="D127" t="s">
        <v>37</v>
      </c>
      <c r="E127" t="s">
        <v>59</v>
      </c>
      <c r="F127">
        <v>13637</v>
      </c>
      <c r="G127">
        <v>1135</v>
      </c>
      <c r="H127">
        <v>540</v>
      </c>
      <c r="I127">
        <v>1288</v>
      </c>
      <c r="J127">
        <v>45183</v>
      </c>
      <c r="K127">
        <v>79062</v>
      </c>
      <c r="L127" t="s">
        <v>67</v>
      </c>
    </row>
    <row r="128" spans="1:12" x14ac:dyDescent="0.35">
      <c r="A128" t="s">
        <v>184</v>
      </c>
      <c r="B128" t="s">
        <v>62</v>
      </c>
      <c r="C128" s="3">
        <v>45684</v>
      </c>
      <c r="D128" t="s">
        <v>37</v>
      </c>
      <c r="E128" t="s">
        <v>72</v>
      </c>
      <c r="F128">
        <v>24415</v>
      </c>
      <c r="G128">
        <v>860</v>
      </c>
      <c r="H128">
        <v>931</v>
      </c>
      <c r="I128">
        <v>320</v>
      </c>
      <c r="J128">
        <v>65049</v>
      </c>
      <c r="K128">
        <v>62911</v>
      </c>
      <c r="L128" t="s">
        <v>39</v>
      </c>
    </row>
    <row r="129" spans="1:12" x14ac:dyDescent="0.35">
      <c r="A129" t="s">
        <v>185</v>
      </c>
      <c r="B129" t="s">
        <v>45</v>
      </c>
      <c r="C129" s="3">
        <v>45667</v>
      </c>
      <c r="D129" t="s">
        <v>56</v>
      </c>
      <c r="E129" t="s">
        <v>77</v>
      </c>
      <c r="F129">
        <v>14647</v>
      </c>
      <c r="G129">
        <v>1168</v>
      </c>
      <c r="H129">
        <v>484</v>
      </c>
      <c r="I129">
        <v>2650</v>
      </c>
      <c r="J129">
        <v>27217</v>
      </c>
      <c r="K129">
        <v>144061</v>
      </c>
      <c r="L129" t="s">
        <v>52</v>
      </c>
    </row>
    <row r="130" spans="1:12" x14ac:dyDescent="0.35">
      <c r="A130" t="s">
        <v>186</v>
      </c>
      <c r="B130" t="s">
        <v>41</v>
      </c>
      <c r="C130" s="3">
        <v>45494</v>
      </c>
      <c r="D130" t="s">
        <v>37</v>
      </c>
      <c r="E130" t="s">
        <v>51</v>
      </c>
      <c r="F130">
        <v>11911</v>
      </c>
      <c r="G130">
        <v>1360</v>
      </c>
      <c r="H130">
        <v>778</v>
      </c>
      <c r="I130">
        <v>1168</v>
      </c>
      <c r="J130">
        <v>16483</v>
      </c>
      <c r="K130">
        <v>72556</v>
      </c>
      <c r="L130" t="s">
        <v>48</v>
      </c>
    </row>
    <row r="131" spans="1:12" x14ac:dyDescent="0.35">
      <c r="A131" t="s">
        <v>187</v>
      </c>
      <c r="B131" t="s">
        <v>41</v>
      </c>
      <c r="C131" s="3">
        <v>45564</v>
      </c>
      <c r="D131" t="s">
        <v>56</v>
      </c>
      <c r="E131" t="s">
        <v>42</v>
      </c>
      <c r="F131">
        <v>10472</v>
      </c>
      <c r="G131">
        <v>401</v>
      </c>
      <c r="H131">
        <v>668</v>
      </c>
      <c r="I131">
        <v>383</v>
      </c>
      <c r="J131">
        <v>37571</v>
      </c>
      <c r="K131">
        <v>249203</v>
      </c>
      <c r="L131" t="s">
        <v>48</v>
      </c>
    </row>
    <row r="132" spans="1:12" x14ac:dyDescent="0.35">
      <c r="A132" t="s">
        <v>188</v>
      </c>
      <c r="B132" t="s">
        <v>41</v>
      </c>
      <c r="C132" s="3">
        <v>45586</v>
      </c>
      <c r="D132" t="s">
        <v>37</v>
      </c>
      <c r="E132" t="s">
        <v>63</v>
      </c>
      <c r="F132">
        <v>20271</v>
      </c>
      <c r="G132">
        <v>512</v>
      </c>
      <c r="H132">
        <v>286</v>
      </c>
      <c r="I132">
        <v>1982</v>
      </c>
      <c r="J132">
        <v>43225</v>
      </c>
      <c r="K132">
        <v>168335</v>
      </c>
      <c r="L132" t="s">
        <v>52</v>
      </c>
    </row>
    <row r="133" spans="1:12" x14ac:dyDescent="0.35">
      <c r="A133" t="s">
        <v>189</v>
      </c>
      <c r="B133" t="s">
        <v>45</v>
      </c>
      <c r="C133" s="3">
        <v>45720</v>
      </c>
      <c r="D133" t="s">
        <v>50</v>
      </c>
      <c r="E133" t="s">
        <v>42</v>
      </c>
      <c r="F133">
        <v>5266</v>
      </c>
      <c r="G133">
        <v>316</v>
      </c>
      <c r="H133">
        <v>837</v>
      </c>
      <c r="I133">
        <v>2276</v>
      </c>
      <c r="J133">
        <v>20967</v>
      </c>
      <c r="K133">
        <v>41969</v>
      </c>
      <c r="L133" t="s">
        <v>67</v>
      </c>
    </row>
    <row r="134" spans="1:12" x14ac:dyDescent="0.35">
      <c r="A134" t="s">
        <v>190</v>
      </c>
      <c r="B134" t="s">
        <v>45</v>
      </c>
      <c r="C134" s="3">
        <v>45694</v>
      </c>
      <c r="D134" t="s">
        <v>37</v>
      </c>
      <c r="E134" t="s">
        <v>38</v>
      </c>
      <c r="F134">
        <v>2666</v>
      </c>
      <c r="G134">
        <v>1136</v>
      </c>
      <c r="H134">
        <v>989</v>
      </c>
      <c r="I134">
        <v>1710</v>
      </c>
      <c r="J134">
        <v>36467</v>
      </c>
      <c r="K134">
        <v>83753</v>
      </c>
      <c r="L134" t="s">
        <v>48</v>
      </c>
    </row>
    <row r="135" spans="1:12" x14ac:dyDescent="0.35">
      <c r="A135" t="s">
        <v>191</v>
      </c>
      <c r="B135" t="s">
        <v>45</v>
      </c>
      <c r="C135" s="3">
        <v>45931</v>
      </c>
      <c r="D135" t="s">
        <v>56</v>
      </c>
      <c r="E135" t="s">
        <v>18</v>
      </c>
      <c r="F135">
        <v>6188</v>
      </c>
      <c r="G135">
        <v>774</v>
      </c>
      <c r="H135">
        <v>647</v>
      </c>
      <c r="I135">
        <v>1830</v>
      </c>
      <c r="J135">
        <v>55436</v>
      </c>
      <c r="K135">
        <v>175542</v>
      </c>
      <c r="L135" t="s">
        <v>43</v>
      </c>
    </row>
    <row r="136" spans="1:12" x14ac:dyDescent="0.35">
      <c r="A136" t="s">
        <v>192</v>
      </c>
      <c r="B136" t="s">
        <v>36</v>
      </c>
      <c r="C136" s="3">
        <v>45624</v>
      </c>
      <c r="D136" t="s">
        <v>56</v>
      </c>
      <c r="E136" t="s">
        <v>63</v>
      </c>
      <c r="F136">
        <v>19055</v>
      </c>
      <c r="G136">
        <v>443</v>
      </c>
      <c r="H136">
        <v>976</v>
      </c>
      <c r="I136">
        <v>869</v>
      </c>
      <c r="J136">
        <v>75437</v>
      </c>
      <c r="K136">
        <v>161863</v>
      </c>
      <c r="L136" t="s">
        <v>48</v>
      </c>
    </row>
    <row r="137" spans="1:12" x14ac:dyDescent="0.35">
      <c r="A137" t="s">
        <v>193</v>
      </c>
      <c r="B137" t="s">
        <v>45</v>
      </c>
      <c r="C137" s="3">
        <v>45932</v>
      </c>
      <c r="D137" t="s">
        <v>56</v>
      </c>
      <c r="E137" t="s">
        <v>47</v>
      </c>
      <c r="F137">
        <v>12161</v>
      </c>
      <c r="G137">
        <v>736</v>
      </c>
      <c r="H137">
        <v>876</v>
      </c>
      <c r="I137">
        <v>1233</v>
      </c>
      <c r="J137">
        <v>21337</v>
      </c>
      <c r="K137">
        <v>50225</v>
      </c>
      <c r="L137" t="s">
        <v>43</v>
      </c>
    </row>
    <row r="138" spans="1:12" x14ac:dyDescent="0.35">
      <c r="A138" t="s">
        <v>194</v>
      </c>
      <c r="B138" t="s">
        <v>45</v>
      </c>
      <c r="C138" s="3">
        <v>45504</v>
      </c>
      <c r="D138" t="s">
        <v>56</v>
      </c>
      <c r="E138" t="s">
        <v>51</v>
      </c>
      <c r="F138">
        <v>13314</v>
      </c>
      <c r="G138">
        <v>274</v>
      </c>
      <c r="H138">
        <v>626</v>
      </c>
      <c r="I138">
        <v>2280</v>
      </c>
      <c r="J138">
        <v>14639</v>
      </c>
      <c r="K138">
        <v>163008</v>
      </c>
      <c r="L138" t="s">
        <v>52</v>
      </c>
    </row>
    <row r="139" spans="1:12" x14ac:dyDescent="0.35">
      <c r="A139" t="s">
        <v>195</v>
      </c>
      <c r="B139" t="s">
        <v>45</v>
      </c>
      <c r="C139" s="3">
        <v>45745</v>
      </c>
      <c r="D139" t="s">
        <v>56</v>
      </c>
      <c r="E139" t="s">
        <v>47</v>
      </c>
      <c r="F139">
        <v>23508</v>
      </c>
      <c r="G139">
        <v>585</v>
      </c>
      <c r="H139">
        <v>743</v>
      </c>
      <c r="I139">
        <v>2155</v>
      </c>
      <c r="J139">
        <v>3704</v>
      </c>
      <c r="K139">
        <v>194268</v>
      </c>
      <c r="L139" t="s">
        <v>52</v>
      </c>
    </row>
    <row r="140" spans="1:12" x14ac:dyDescent="0.35">
      <c r="A140" t="s">
        <v>196</v>
      </c>
      <c r="B140" t="s">
        <v>36</v>
      </c>
      <c r="C140" s="3">
        <v>45594</v>
      </c>
      <c r="D140" t="s">
        <v>46</v>
      </c>
      <c r="E140" t="s">
        <v>72</v>
      </c>
      <c r="F140">
        <v>23969</v>
      </c>
      <c r="G140">
        <v>1433</v>
      </c>
      <c r="H140">
        <v>372</v>
      </c>
      <c r="I140">
        <v>1092</v>
      </c>
      <c r="J140">
        <v>32147</v>
      </c>
      <c r="K140">
        <v>145823</v>
      </c>
      <c r="L140" t="s">
        <v>48</v>
      </c>
    </row>
    <row r="141" spans="1:12" x14ac:dyDescent="0.35">
      <c r="A141" t="s">
        <v>197</v>
      </c>
      <c r="B141" t="s">
        <v>45</v>
      </c>
      <c r="C141" s="3">
        <v>45488</v>
      </c>
      <c r="D141" t="s">
        <v>46</v>
      </c>
      <c r="E141" t="s">
        <v>57</v>
      </c>
      <c r="F141">
        <v>14891</v>
      </c>
      <c r="G141">
        <v>674</v>
      </c>
      <c r="H141">
        <v>521</v>
      </c>
      <c r="I141">
        <v>1091</v>
      </c>
      <c r="J141">
        <v>18101</v>
      </c>
      <c r="K141">
        <v>53669</v>
      </c>
      <c r="L141" t="s">
        <v>39</v>
      </c>
    </row>
    <row r="142" spans="1:12" x14ac:dyDescent="0.35">
      <c r="A142" t="s">
        <v>198</v>
      </c>
      <c r="B142" t="s">
        <v>41</v>
      </c>
      <c r="C142" s="3">
        <v>45933</v>
      </c>
      <c r="D142" t="s">
        <v>37</v>
      </c>
      <c r="E142" t="s">
        <v>63</v>
      </c>
      <c r="F142">
        <v>6777</v>
      </c>
      <c r="G142">
        <v>617</v>
      </c>
      <c r="H142">
        <v>551</v>
      </c>
      <c r="I142">
        <v>2109</v>
      </c>
      <c r="J142">
        <v>18559</v>
      </c>
      <c r="K142">
        <v>208452</v>
      </c>
      <c r="L142" t="s">
        <v>43</v>
      </c>
    </row>
    <row r="143" spans="1:12" x14ac:dyDescent="0.35">
      <c r="A143" t="s">
        <v>199</v>
      </c>
      <c r="B143" t="s">
        <v>45</v>
      </c>
      <c r="C143" s="3">
        <v>45741</v>
      </c>
      <c r="D143" t="s">
        <v>56</v>
      </c>
      <c r="E143" t="s">
        <v>47</v>
      </c>
      <c r="F143">
        <v>5900</v>
      </c>
      <c r="G143">
        <v>546</v>
      </c>
      <c r="H143">
        <v>592</v>
      </c>
      <c r="I143">
        <v>1594</v>
      </c>
      <c r="J143">
        <v>38627</v>
      </c>
      <c r="K143">
        <v>164398</v>
      </c>
      <c r="L143" t="s">
        <v>67</v>
      </c>
    </row>
    <row r="144" spans="1:12" x14ac:dyDescent="0.35">
      <c r="A144" t="s">
        <v>200</v>
      </c>
      <c r="B144" t="s">
        <v>41</v>
      </c>
      <c r="C144" s="3">
        <v>45567</v>
      </c>
      <c r="D144" t="s">
        <v>37</v>
      </c>
      <c r="E144" t="s">
        <v>47</v>
      </c>
      <c r="F144">
        <v>15716</v>
      </c>
      <c r="G144">
        <v>839</v>
      </c>
      <c r="H144">
        <v>639</v>
      </c>
      <c r="I144">
        <v>2839</v>
      </c>
      <c r="J144">
        <v>349</v>
      </c>
      <c r="K144">
        <v>150677</v>
      </c>
      <c r="L144" t="s">
        <v>48</v>
      </c>
    </row>
    <row r="145" spans="1:12" x14ac:dyDescent="0.35">
      <c r="A145" t="s">
        <v>201</v>
      </c>
      <c r="B145" t="s">
        <v>41</v>
      </c>
      <c r="C145" s="3">
        <v>45593</v>
      </c>
      <c r="D145" t="s">
        <v>56</v>
      </c>
      <c r="E145" t="s">
        <v>77</v>
      </c>
      <c r="F145">
        <v>8981</v>
      </c>
      <c r="G145">
        <v>1138</v>
      </c>
      <c r="H145">
        <v>764</v>
      </c>
      <c r="I145">
        <v>2555</v>
      </c>
      <c r="J145">
        <v>92810</v>
      </c>
      <c r="K145">
        <v>88320</v>
      </c>
      <c r="L145" t="s">
        <v>67</v>
      </c>
    </row>
    <row r="146" spans="1:12" x14ac:dyDescent="0.35">
      <c r="A146" t="s">
        <v>202</v>
      </c>
      <c r="B146" t="s">
        <v>41</v>
      </c>
      <c r="C146" s="3">
        <v>45516</v>
      </c>
      <c r="D146" t="s">
        <v>56</v>
      </c>
      <c r="E146" t="s">
        <v>42</v>
      </c>
      <c r="F146">
        <v>8376</v>
      </c>
      <c r="G146">
        <v>1154</v>
      </c>
      <c r="H146">
        <v>422</v>
      </c>
      <c r="I146">
        <v>1907</v>
      </c>
      <c r="J146">
        <v>36874</v>
      </c>
      <c r="K146">
        <v>218486</v>
      </c>
      <c r="L146" t="s">
        <v>48</v>
      </c>
    </row>
    <row r="147" spans="1:12" x14ac:dyDescent="0.35">
      <c r="A147" t="s">
        <v>203</v>
      </c>
      <c r="B147" t="s">
        <v>36</v>
      </c>
      <c r="C147" s="3">
        <v>45448</v>
      </c>
      <c r="D147" t="s">
        <v>46</v>
      </c>
      <c r="E147" t="s">
        <v>77</v>
      </c>
      <c r="F147">
        <v>18907</v>
      </c>
      <c r="G147">
        <v>1075</v>
      </c>
      <c r="H147">
        <v>675</v>
      </c>
      <c r="I147">
        <v>1383</v>
      </c>
      <c r="J147">
        <v>17875</v>
      </c>
      <c r="K147">
        <v>186649</v>
      </c>
      <c r="L147" t="s">
        <v>39</v>
      </c>
    </row>
    <row r="148" spans="1:12" x14ac:dyDescent="0.35">
      <c r="A148" t="s">
        <v>204</v>
      </c>
      <c r="B148" t="s">
        <v>36</v>
      </c>
      <c r="C148" s="3">
        <v>45586</v>
      </c>
      <c r="D148" t="s">
        <v>46</v>
      </c>
      <c r="E148" t="s">
        <v>63</v>
      </c>
      <c r="F148">
        <v>20777</v>
      </c>
      <c r="G148">
        <v>962</v>
      </c>
      <c r="H148">
        <v>308</v>
      </c>
      <c r="I148">
        <v>2777</v>
      </c>
      <c r="J148">
        <v>25529</v>
      </c>
      <c r="K148">
        <v>165354</v>
      </c>
      <c r="L148" t="s">
        <v>39</v>
      </c>
    </row>
    <row r="149" spans="1:12" x14ac:dyDescent="0.35">
      <c r="A149" t="s">
        <v>205</v>
      </c>
      <c r="B149" t="s">
        <v>36</v>
      </c>
      <c r="C149" s="3">
        <v>45762</v>
      </c>
      <c r="D149" t="s">
        <v>50</v>
      </c>
      <c r="E149" t="s">
        <v>63</v>
      </c>
      <c r="F149">
        <v>20977</v>
      </c>
      <c r="G149">
        <v>1402</v>
      </c>
      <c r="H149">
        <v>301</v>
      </c>
      <c r="I149">
        <v>1284</v>
      </c>
      <c r="J149">
        <v>24620</v>
      </c>
      <c r="K149">
        <v>128009</v>
      </c>
      <c r="L149" t="s">
        <v>39</v>
      </c>
    </row>
    <row r="150" spans="1:12" x14ac:dyDescent="0.35">
      <c r="A150" t="s">
        <v>206</v>
      </c>
      <c r="B150" t="s">
        <v>45</v>
      </c>
      <c r="C150" s="3">
        <v>45459</v>
      </c>
      <c r="D150" t="s">
        <v>46</v>
      </c>
      <c r="E150" t="s">
        <v>38</v>
      </c>
      <c r="F150">
        <v>12160</v>
      </c>
      <c r="G150">
        <v>1405</v>
      </c>
      <c r="H150">
        <v>769</v>
      </c>
      <c r="I150">
        <v>1980</v>
      </c>
      <c r="J150">
        <v>33174</v>
      </c>
      <c r="K150">
        <v>226481</v>
      </c>
      <c r="L150" t="s">
        <v>39</v>
      </c>
    </row>
    <row r="151" spans="1:12" x14ac:dyDescent="0.35">
      <c r="A151" t="s">
        <v>207</v>
      </c>
      <c r="B151" t="s">
        <v>41</v>
      </c>
      <c r="C151" s="3">
        <v>45526</v>
      </c>
      <c r="D151" t="s">
        <v>50</v>
      </c>
      <c r="E151" t="s">
        <v>77</v>
      </c>
      <c r="F151">
        <v>16124</v>
      </c>
      <c r="G151">
        <v>863</v>
      </c>
      <c r="H151">
        <v>337</v>
      </c>
      <c r="I151">
        <v>819</v>
      </c>
      <c r="J151">
        <v>85788</v>
      </c>
      <c r="K151">
        <v>68625</v>
      </c>
      <c r="L151" t="s">
        <v>52</v>
      </c>
    </row>
    <row r="152" spans="1:12" x14ac:dyDescent="0.35">
      <c r="A152" t="s">
        <v>208</v>
      </c>
      <c r="B152" t="s">
        <v>36</v>
      </c>
      <c r="C152" s="3">
        <v>45499</v>
      </c>
      <c r="D152" t="s">
        <v>50</v>
      </c>
      <c r="E152" t="s">
        <v>17</v>
      </c>
      <c r="F152">
        <v>18282</v>
      </c>
      <c r="G152">
        <v>224</v>
      </c>
      <c r="H152">
        <v>962</v>
      </c>
      <c r="I152">
        <v>890</v>
      </c>
      <c r="J152">
        <v>35105</v>
      </c>
      <c r="K152">
        <v>64089</v>
      </c>
      <c r="L152" t="s">
        <v>52</v>
      </c>
    </row>
    <row r="153" spans="1:12" x14ac:dyDescent="0.35">
      <c r="A153" t="s">
        <v>209</v>
      </c>
      <c r="B153" t="s">
        <v>36</v>
      </c>
      <c r="C153" s="3">
        <v>45934</v>
      </c>
      <c r="D153" t="s">
        <v>50</v>
      </c>
      <c r="E153" t="s">
        <v>136</v>
      </c>
      <c r="F153">
        <v>12488</v>
      </c>
      <c r="G153">
        <v>1403</v>
      </c>
      <c r="H153">
        <v>247</v>
      </c>
      <c r="I153">
        <v>1350</v>
      </c>
      <c r="J153">
        <v>28370</v>
      </c>
      <c r="K153">
        <v>76487</v>
      </c>
      <c r="L153" t="s">
        <v>43</v>
      </c>
    </row>
    <row r="154" spans="1:12" x14ac:dyDescent="0.35">
      <c r="A154" t="s">
        <v>210</v>
      </c>
      <c r="B154" t="s">
        <v>45</v>
      </c>
      <c r="C154" s="3">
        <v>45658</v>
      </c>
      <c r="D154" t="s">
        <v>50</v>
      </c>
      <c r="E154" t="s">
        <v>42</v>
      </c>
      <c r="F154">
        <v>24574</v>
      </c>
      <c r="G154">
        <v>909</v>
      </c>
      <c r="H154">
        <v>280</v>
      </c>
      <c r="I154">
        <v>2009</v>
      </c>
      <c r="J154">
        <v>6221</v>
      </c>
      <c r="K154">
        <v>236910</v>
      </c>
      <c r="L154" t="s">
        <v>67</v>
      </c>
    </row>
    <row r="155" spans="1:12" x14ac:dyDescent="0.35">
      <c r="A155" t="s">
        <v>211</v>
      </c>
      <c r="B155" t="s">
        <v>36</v>
      </c>
      <c r="C155" s="3">
        <v>45574</v>
      </c>
      <c r="D155" t="s">
        <v>50</v>
      </c>
      <c r="E155" t="s">
        <v>63</v>
      </c>
      <c r="F155">
        <v>7240</v>
      </c>
      <c r="G155">
        <v>1384</v>
      </c>
      <c r="H155">
        <v>954</v>
      </c>
      <c r="I155">
        <v>2335</v>
      </c>
      <c r="J155">
        <v>6757</v>
      </c>
      <c r="K155">
        <v>150448</v>
      </c>
      <c r="L155" t="s">
        <v>48</v>
      </c>
    </row>
    <row r="156" spans="1:12" x14ac:dyDescent="0.35">
      <c r="A156" t="s">
        <v>212</v>
      </c>
      <c r="B156" t="s">
        <v>45</v>
      </c>
      <c r="C156" s="3">
        <v>45647</v>
      </c>
      <c r="D156" t="s">
        <v>37</v>
      </c>
      <c r="E156" t="s">
        <v>38</v>
      </c>
      <c r="F156">
        <v>12453</v>
      </c>
      <c r="G156">
        <v>376</v>
      </c>
      <c r="H156">
        <v>320</v>
      </c>
      <c r="I156">
        <v>2546</v>
      </c>
      <c r="J156">
        <v>22617</v>
      </c>
      <c r="K156">
        <v>90138</v>
      </c>
      <c r="L156" t="s">
        <v>48</v>
      </c>
    </row>
    <row r="157" spans="1:12" x14ac:dyDescent="0.35">
      <c r="A157" t="s">
        <v>213</v>
      </c>
      <c r="B157" t="s">
        <v>62</v>
      </c>
      <c r="C157" s="3">
        <v>45587</v>
      </c>
      <c r="D157" t="s">
        <v>46</v>
      </c>
      <c r="E157" t="s">
        <v>57</v>
      </c>
      <c r="F157">
        <v>12478</v>
      </c>
      <c r="G157">
        <v>484</v>
      </c>
      <c r="H157">
        <v>332</v>
      </c>
      <c r="I157">
        <v>2734</v>
      </c>
      <c r="J157">
        <v>43338</v>
      </c>
      <c r="K157">
        <v>213895</v>
      </c>
      <c r="L157" t="s">
        <v>52</v>
      </c>
    </row>
    <row r="158" spans="1:12" x14ac:dyDescent="0.35">
      <c r="A158" t="s">
        <v>214</v>
      </c>
      <c r="B158" t="s">
        <v>36</v>
      </c>
      <c r="C158" s="3">
        <v>45496</v>
      </c>
      <c r="D158" t="s">
        <v>50</v>
      </c>
      <c r="E158" t="s">
        <v>77</v>
      </c>
      <c r="F158">
        <v>24877</v>
      </c>
      <c r="G158">
        <v>262</v>
      </c>
      <c r="H158">
        <v>513</v>
      </c>
      <c r="I158">
        <v>648</v>
      </c>
      <c r="J158">
        <v>47544</v>
      </c>
      <c r="K158">
        <v>208280</v>
      </c>
      <c r="L158" t="s">
        <v>48</v>
      </c>
    </row>
    <row r="159" spans="1:12" x14ac:dyDescent="0.35">
      <c r="A159" t="s">
        <v>215</v>
      </c>
      <c r="B159" t="s">
        <v>62</v>
      </c>
      <c r="C159" s="3">
        <v>45515</v>
      </c>
      <c r="D159" t="s">
        <v>56</v>
      </c>
      <c r="E159" t="s">
        <v>42</v>
      </c>
      <c r="F159">
        <v>14394</v>
      </c>
      <c r="G159">
        <v>1202</v>
      </c>
      <c r="H159">
        <v>188</v>
      </c>
      <c r="I159">
        <v>1259</v>
      </c>
      <c r="J159">
        <v>21925</v>
      </c>
      <c r="K159">
        <v>94061</v>
      </c>
      <c r="L159" t="s">
        <v>52</v>
      </c>
    </row>
    <row r="160" spans="1:12" x14ac:dyDescent="0.35">
      <c r="A160" t="s">
        <v>216</v>
      </c>
      <c r="B160" t="s">
        <v>45</v>
      </c>
      <c r="C160" s="3">
        <v>45935</v>
      </c>
      <c r="D160" t="s">
        <v>46</v>
      </c>
      <c r="E160" t="s">
        <v>57</v>
      </c>
      <c r="F160">
        <v>21262</v>
      </c>
      <c r="G160">
        <v>861</v>
      </c>
      <c r="H160">
        <v>676</v>
      </c>
      <c r="I160">
        <v>2263</v>
      </c>
      <c r="J160">
        <v>12085</v>
      </c>
      <c r="K160">
        <v>201731</v>
      </c>
      <c r="L160" t="s">
        <v>43</v>
      </c>
    </row>
    <row r="161" spans="1:12" x14ac:dyDescent="0.35">
      <c r="A161" t="s">
        <v>217</v>
      </c>
      <c r="B161" t="s">
        <v>41</v>
      </c>
      <c r="C161" s="3">
        <v>45528</v>
      </c>
      <c r="D161" t="s">
        <v>46</v>
      </c>
      <c r="E161" t="s">
        <v>77</v>
      </c>
      <c r="F161">
        <v>22527</v>
      </c>
      <c r="G161">
        <v>865</v>
      </c>
      <c r="H161">
        <v>646</v>
      </c>
      <c r="I161">
        <v>992</v>
      </c>
      <c r="J161">
        <v>18654</v>
      </c>
      <c r="K161">
        <v>141376</v>
      </c>
      <c r="L161" t="s">
        <v>67</v>
      </c>
    </row>
    <row r="162" spans="1:12" x14ac:dyDescent="0.35">
      <c r="A162" t="s">
        <v>218</v>
      </c>
      <c r="B162" t="s">
        <v>36</v>
      </c>
      <c r="C162" s="3">
        <v>45936</v>
      </c>
      <c r="D162" t="s">
        <v>50</v>
      </c>
      <c r="E162" t="s">
        <v>47</v>
      </c>
      <c r="F162">
        <v>22028</v>
      </c>
      <c r="G162">
        <v>355</v>
      </c>
      <c r="H162">
        <v>665</v>
      </c>
      <c r="I162">
        <v>1859</v>
      </c>
      <c r="J162">
        <v>50565</v>
      </c>
      <c r="K162">
        <v>202962</v>
      </c>
      <c r="L162" t="s">
        <v>43</v>
      </c>
    </row>
    <row r="163" spans="1:12" x14ac:dyDescent="0.35">
      <c r="A163" t="s">
        <v>219</v>
      </c>
      <c r="B163" t="s">
        <v>45</v>
      </c>
      <c r="C163" s="3">
        <v>45748</v>
      </c>
      <c r="D163" t="s">
        <v>37</v>
      </c>
      <c r="E163" t="s">
        <v>57</v>
      </c>
      <c r="F163">
        <v>6432</v>
      </c>
      <c r="G163">
        <v>1272</v>
      </c>
      <c r="H163">
        <v>498</v>
      </c>
      <c r="I163">
        <v>677</v>
      </c>
      <c r="J163">
        <v>47305</v>
      </c>
      <c r="K163">
        <v>119134</v>
      </c>
      <c r="L163" t="s">
        <v>39</v>
      </c>
    </row>
    <row r="164" spans="1:12" x14ac:dyDescent="0.35">
      <c r="A164" t="s">
        <v>220</v>
      </c>
      <c r="B164" t="s">
        <v>41</v>
      </c>
      <c r="C164" s="3">
        <v>45755</v>
      </c>
      <c r="D164" t="s">
        <v>50</v>
      </c>
      <c r="E164" t="s">
        <v>38</v>
      </c>
      <c r="F164">
        <v>15568</v>
      </c>
      <c r="G164">
        <v>1166</v>
      </c>
      <c r="H164">
        <v>546</v>
      </c>
      <c r="I164">
        <v>826</v>
      </c>
      <c r="J164">
        <v>21836</v>
      </c>
      <c r="K164">
        <v>87055</v>
      </c>
      <c r="L164" t="s">
        <v>39</v>
      </c>
    </row>
    <row r="165" spans="1:12" x14ac:dyDescent="0.35">
      <c r="A165" t="s">
        <v>221</v>
      </c>
      <c r="B165" t="s">
        <v>41</v>
      </c>
      <c r="C165" s="3">
        <v>45715</v>
      </c>
      <c r="D165" t="s">
        <v>37</v>
      </c>
      <c r="E165" t="s">
        <v>42</v>
      </c>
      <c r="F165">
        <v>16178</v>
      </c>
      <c r="G165">
        <v>1048</v>
      </c>
      <c r="H165">
        <v>871</v>
      </c>
      <c r="I165">
        <v>2553</v>
      </c>
      <c r="J165">
        <v>39025</v>
      </c>
      <c r="K165">
        <v>59508</v>
      </c>
      <c r="L165" t="s">
        <v>39</v>
      </c>
    </row>
    <row r="166" spans="1:12" x14ac:dyDescent="0.35">
      <c r="A166" t="s">
        <v>222</v>
      </c>
      <c r="B166" t="s">
        <v>62</v>
      </c>
      <c r="C166" s="3">
        <v>45937</v>
      </c>
      <c r="D166" t="s">
        <v>56</v>
      </c>
      <c r="E166" t="s">
        <v>59</v>
      </c>
      <c r="F166">
        <v>19660</v>
      </c>
      <c r="G166">
        <v>1307</v>
      </c>
      <c r="H166">
        <v>310</v>
      </c>
      <c r="I166">
        <v>2802</v>
      </c>
      <c r="J166">
        <v>22171</v>
      </c>
      <c r="K166">
        <v>213359</v>
      </c>
      <c r="L166" t="s">
        <v>43</v>
      </c>
    </row>
    <row r="167" spans="1:12" x14ac:dyDescent="0.35">
      <c r="A167" t="s">
        <v>223</v>
      </c>
      <c r="B167" t="s">
        <v>45</v>
      </c>
      <c r="C167" s="3">
        <v>45704</v>
      </c>
      <c r="D167" t="s">
        <v>46</v>
      </c>
      <c r="E167" t="s">
        <v>72</v>
      </c>
      <c r="F167">
        <v>24195</v>
      </c>
      <c r="G167">
        <v>888</v>
      </c>
      <c r="H167">
        <v>165</v>
      </c>
      <c r="I167">
        <v>1559</v>
      </c>
      <c r="J167">
        <v>11596</v>
      </c>
      <c r="K167">
        <v>249988</v>
      </c>
      <c r="L167" t="s">
        <v>48</v>
      </c>
    </row>
    <row r="168" spans="1:12" x14ac:dyDescent="0.35">
      <c r="A168" t="s">
        <v>224</v>
      </c>
      <c r="B168" t="s">
        <v>41</v>
      </c>
      <c r="C168" s="3">
        <v>45624</v>
      </c>
      <c r="D168" t="s">
        <v>56</v>
      </c>
      <c r="E168" t="s">
        <v>72</v>
      </c>
      <c r="F168">
        <v>2302</v>
      </c>
      <c r="G168">
        <v>347</v>
      </c>
      <c r="H168">
        <v>642</v>
      </c>
      <c r="I168">
        <v>2175</v>
      </c>
      <c r="J168">
        <v>56378</v>
      </c>
      <c r="K168">
        <v>198056</v>
      </c>
      <c r="L168" t="s">
        <v>67</v>
      </c>
    </row>
    <row r="169" spans="1:12" x14ac:dyDescent="0.35">
      <c r="A169" t="s">
        <v>225</v>
      </c>
      <c r="B169" t="s">
        <v>36</v>
      </c>
      <c r="C169" s="3">
        <v>45608</v>
      </c>
      <c r="D169" t="s">
        <v>37</v>
      </c>
      <c r="E169" t="s">
        <v>42</v>
      </c>
      <c r="F169">
        <v>19022</v>
      </c>
      <c r="G169">
        <v>541</v>
      </c>
      <c r="H169">
        <v>575</v>
      </c>
      <c r="I169">
        <v>2063</v>
      </c>
      <c r="J169">
        <v>42743</v>
      </c>
      <c r="K169">
        <v>150169</v>
      </c>
      <c r="L169" t="s">
        <v>39</v>
      </c>
    </row>
    <row r="170" spans="1:12" x14ac:dyDescent="0.35">
      <c r="A170" t="s">
        <v>226</v>
      </c>
      <c r="B170" t="s">
        <v>36</v>
      </c>
      <c r="C170" s="3">
        <v>45629</v>
      </c>
      <c r="D170" t="s">
        <v>37</v>
      </c>
      <c r="E170" t="s">
        <v>57</v>
      </c>
      <c r="F170">
        <v>2055</v>
      </c>
      <c r="G170">
        <v>675</v>
      </c>
      <c r="H170">
        <v>257</v>
      </c>
      <c r="I170">
        <v>820</v>
      </c>
      <c r="J170">
        <v>33534</v>
      </c>
      <c r="K170">
        <v>48125</v>
      </c>
      <c r="L170" t="s">
        <v>39</v>
      </c>
    </row>
    <row r="171" spans="1:12" x14ac:dyDescent="0.35">
      <c r="A171" t="s">
        <v>227</v>
      </c>
      <c r="B171" t="s">
        <v>62</v>
      </c>
      <c r="C171" s="3">
        <v>45775</v>
      </c>
      <c r="D171" t="s">
        <v>56</v>
      </c>
      <c r="E171" t="s">
        <v>77</v>
      </c>
      <c r="F171">
        <v>15013</v>
      </c>
      <c r="G171">
        <v>1286</v>
      </c>
      <c r="H171">
        <v>599</v>
      </c>
      <c r="I171">
        <v>2001</v>
      </c>
      <c r="J171">
        <v>67839</v>
      </c>
      <c r="K171">
        <v>76059</v>
      </c>
      <c r="L171" t="s">
        <v>39</v>
      </c>
    </row>
    <row r="172" spans="1:12" x14ac:dyDescent="0.35">
      <c r="A172" t="s">
        <v>228</v>
      </c>
      <c r="B172" t="s">
        <v>41</v>
      </c>
      <c r="C172" s="3">
        <v>45657</v>
      </c>
      <c r="D172" t="s">
        <v>37</v>
      </c>
      <c r="E172" t="s">
        <v>38</v>
      </c>
      <c r="F172">
        <v>10717</v>
      </c>
      <c r="G172">
        <v>760</v>
      </c>
      <c r="H172">
        <v>460</v>
      </c>
      <c r="I172">
        <v>1316</v>
      </c>
      <c r="J172">
        <v>18164</v>
      </c>
      <c r="K172">
        <v>240641</v>
      </c>
      <c r="L172" t="s">
        <v>67</v>
      </c>
    </row>
    <row r="173" spans="1:12" x14ac:dyDescent="0.35">
      <c r="A173" t="s">
        <v>229</v>
      </c>
      <c r="B173" t="s">
        <v>45</v>
      </c>
      <c r="C173" s="3">
        <v>45518</v>
      </c>
      <c r="D173" t="s">
        <v>56</v>
      </c>
      <c r="E173" t="s">
        <v>136</v>
      </c>
      <c r="F173">
        <v>10150</v>
      </c>
      <c r="G173">
        <v>526</v>
      </c>
      <c r="H173">
        <v>888</v>
      </c>
      <c r="I173">
        <v>1313</v>
      </c>
      <c r="J173">
        <v>51605</v>
      </c>
      <c r="K173">
        <v>143409</v>
      </c>
      <c r="L173" t="s">
        <v>39</v>
      </c>
    </row>
    <row r="174" spans="1:12" x14ac:dyDescent="0.35">
      <c r="A174" t="s">
        <v>230</v>
      </c>
      <c r="B174" t="s">
        <v>36</v>
      </c>
      <c r="C174" s="3">
        <v>45631</v>
      </c>
      <c r="D174" t="s">
        <v>46</v>
      </c>
      <c r="E174" t="s">
        <v>72</v>
      </c>
      <c r="F174">
        <v>4125</v>
      </c>
      <c r="G174">
        <v>1364</v>
      </c>
      <c r="H174">
        <v>319</v>
      </c>
      <c r="I174">
        <v>2848</v>
      </c>
      <c r="J174">
        <v>15379</v>
      </c>
      <c r="K174">
        <v>188159</v>
      </c>
      <c r="L174" t="s">
        <v>67</v>
      </c>
    </row>
    <row r="175" spans="1:12" x14ac:dyDescent="0.35">
      <c r="A175" t="s">
        <v>231</v>
      </c>
      <c r="B175" t="s">
        <v>41</v>
      </c>
      <c r="C175" s="3">
        <v>45465</v>
      </c>
      <c r="D175" t="s">
        <v>56</v>
      </c>
      <c r="E175" t="s">
        <v>38</v>
      </c>
      <c r="F175">
        <v>13479</v>
      </c>
      <c r="G175">
        <v>1189</v>
      </c>
      <c r="H175">
        <v>695</v>
      </c>
      <c r="I175">
        <v>416</v>
      </c>
      <c r="J175">
        <v>30229</v>
      </c>
      <c r="K175">
        <v>45704</v>
      </c>
      <c r="L175" t="s">
        <v>39</v>
      </c>
    </row>
    <row r="176" spans="1:12" x14ac:dyDescent="0.35">
      <c r="A176" t="s">
        <v>232</v>
      </c>
      <c r="B176" t="s">
        <v>41</v>
      </c>
      <c r="C176" s="3">
        <v>45938</v>
      </c>
      <c r="D176" t="s">
        <v>46</v>
      </c>
      <c r="E176" t="s">
        <v>72</v>
      </c>
      <c r="F176">
        <v>17745</v>
      </c>
      <c r="G176">
        <v>414</v>
      </c>
      <c r="H176">
        <v>563</v>
      </c>
      <c r="I176">
        <v>2733</v>
      </c>
      <c r="J176">
        <v>995</v>
      </c>
      <c r="K176">
        <v>231648</v>
      </c>
      <c r="L176" t="s">
        <v>43</v>
      </c>
    </row>
    <row r="177" spans="1:12" x14ac:dyDescent="0.35">
      <c r="A177" t="s">
        <v>233</v>
      </c>
      <c r="B177" t="s">
        <v>62</v>
      </c>
      <c r="C177" s="3">
        <v>45939</v>
      </c>
      <c r="D177" t="s">
        <v>56</v>
      </c>
      <c r="E177" t="s">
        <v>47</v>
      </c>
      <c r="F177">
        <v>18748</v>
      </c>
      <c r="G177">
        <v>634</v>
      </c>
      <c r="H177">
        <v>400</v>
      </c>
      <c r="I177">
        <v>1667</v>
      </c>
      <c r="J177">
        <v>75813</v>
      </c>
      <c r="K177">
        <v>244456</v>
      </c>
      <c r="L177" t="s">
        <v>43</v>
      </c>
    </row>
    <row r="178" spans="1:12" x14ac:dyDescent="0.35">
      <c r="A178" t="s">
        <v>234</v>
      </c>
      <c r="B178" t="s">
        <v>36</v>
      </c>
      <c r="C178" s="3">
        <v>45483</v>
      </c>
      <c r="D178" t="s">
        <v>37</v>
      </c>
      <c r="E178" t="s">
        <v>77</v>
      </c>
      <c r="F178">
        <v>8809</v>
      </c>
      <c r="G178">
        <v>1151</v>
      </c>
      <c r="H178">
        <v>908</v>
      </c>
      <c r="I178">
        <v>883</v>
      </c>
      <c r="J178">
        <v>42921</v>
      </c>
      <c r="K178">
        <v>151279</v>
      </c>
      <c r="L178" t="s">
        <v>67</v>
      </c>
    </row>
    <row r="179" spans="1:12" x14ac:dyDescent="0.35">
      <c r="A179" t="s">
        <v>235</v>
      </c>
      <c r="B179" t="s">
        <v>36</v>
      </c>
      <c r="C179" s="3">
        <v>45940</v>
      </c>
      <c r="D179" t="s">
        <v>56</v>
      </c>
      <c r="E179" t="s">
        <v>47</v>
      </c>
      <c r="F179">
        <v>6621</v>
      </c>
      <c r="G179">
        <v>922</v>
      </c>
      <c r="H179">
        <v>930</v>
      </c>
      <c r="I179">
        <v>694</v>
      </c>
      <c r="J179">
        <v>839</v>
      </c>
      <c r="K179">
        <v>243532</v>
      </c>
      <c r="L179" t="s">
        <v>43</v>
      </c>
    </row>
    <row r="180" spans="1:12" x14ac:dyDescent="0.35">
      <c r="A180" t="s">
        <v>236</v>
      </c>
      <c r="B180" t="s">
        <v>45</v>
      </c>
      <c r="C180" s="3">
        <v>45488</v>
      </c>
      <c r="D180" t="s">
        <v>37</v>
      </c>
      <c r="E180" t="s">
        <v>72</v>
      </c>
      <c r="F180">
        <v>17034</v>
      </c>
      <c r="G180">
        <v>231</v>
      </c>
      <c r="H180">
        <v>290</v>
      </c>
      <c r="I180">
        <v>1387</v>
      </c>
      <c r="J180">
        <v>63550</v>
      </c>
      <c r="K180">
        <v>198280</v>
      </c>
      <c r="L180" t="s">
        <v>67</v>
      </c>
    </row>
    <row r="181" spans="1:12" x14ac:dyDescent="0.35">
      <c r="A181" t="s">
        <v>237</v>
      </c>
      <c r="B181" t="s">
        <v>36</v>
      </c>
      <c r="C181" s="3">
        <v>45941</v>
      </c>
      <c r="D181" t="s">
        <v>56</v>
      </c>
      <c r="E181" t="s">
        <v>59</v>
      </c>
      <c r="F181">
        <v>15623</v>
      </c>
      <c r="G181">
        <v>869</v>
      </c>
      <c r="H181">
        <v>423</v>
      </c>
      <c r="I181">
        <v>371</v>
      </c>
      <c r="J181">
        <v>47579</v>
      </c>
      <c r="K181">
        <v>158516</v>
      </c>
      <c r="L181" t="s">
        <v>43</v>
      </c>
    </row>
    <row r="182" spans="1:12" x14ac:dyDescent="0.35">
      <c r="A182" t="s">
        <v>238</v>
      </c>
      <c r="B182" t="s">
        <v>45</v>
      </c>
      <c r="C182" s="3">
        <v>45942</v>
      </c>
      <c r="D182" t="s">
        <v>56</v>
      </c>
      <c r="E182" t="s">
        <v>59</v>
      </c>
      <c r="F182">
        <v>7126</v>
      </c>
      <c r="G182">
        <v>484</v>
      </c>
      <c r="H182">
        <v>565</v>
      </c>
      <c r="I182">
        <v>573</v>
      </c>
      <c r="J182">
        <v>7389</v>
      </c>
      <c r="K182">
        <v>237096</v>
      </c>
      <c r="L182" t="s">
        <v>43</v>
      </c>
    </row>
    <row r="183" spans="1:12" x14ac:dyDescent="0.35">
      <c r="A183" t="s">
        <v>239</v>
      </c>
      <c r="B183" t="s">
        <v>36</v>
      </c>
      <c r="C183" s="3">
        <v>45504</v>
      </c>
      <c r="D183" t="s">
        <v>50</v>
      </c>
      <c r="E183" t="s">
        <v>47</v>
      </c>
      <c r="F183">
        <v>7122</v>
      </c>
      <c r="G183">
        <v>628</v>
      </c>
      <c r="H183">
        <v>757</v>
      </c>
      <c r="I183">
        <v>2313</v>
      </c>
      <c r="J183">
        <v>50924</v>
      </c>
      <c r="K183">
        <v>210954</v>
      </c>
      <c r="L183" t="s">
        <v>67</v>
      </c>
    </row>
    <row r="184" spans="1:12" x14ac:dyDescent="0.35">
      <c r="A184" t="s">
        <v>240</v>
      </c>
      <c r="B184" t="s">
        <v>62</v>
      </c>
      <c r="C184" s="3">
        <v>45643</v>
      </c>
      <c r="D184" t="s">
        <v>37</v>
      </c>
      <c r="E184" t="s">
        <v>59</v>
      </c>
      <c r="F184">
        <v>20030</v>
      </c>
      <c r="G184">
        <v>485</v>
      </c>
      <c r="H184">
        <v>888</v>
      </c>
      <c r="I184">
        <v>1643</v>
      </c>
      <c r="J184">
        <v>4322</v>
      </c>
      <c r="K184">
        <v>196995</v>
      </c>
      <c r="L184" t="s">
        <v>48</v>
      </c>
    </row>
    <row r="185" spans="1:12" x14ac:dyDescent="0.35">
      <c r="A185" t="s">
        <v>241</v>
      </c>
      <c r="B185" t="s">
        <v>36</v>
      </c>
      <c r="C185" s="3">
        <v>45943</v>
      </c>
      <c r="D185" t="s">
        <v>50</v>
      </c>
      <c r="E185" t="s">
        <v>72</v>
      </c>
      <c r="F185">
        <v>19302</v>
      </c>
      <c r="G185">
        <v>1367</v>
      </c>
      <c r="H185">
        <v>188</v>
      </c>
      <c r="I185">
        <v>637</v>
      </c>
      <c r="J185">
        <v>31404</v>
      </c>
      <c r="K185">
        <v>154044</v>
      </c>
      <c r="L185" t="s">
        <v>43</v>
      </c>
    </row>
    <row r="186" spans="1:12" x14ac:dyDescent="0.35">
      <c r="A186" t="s">
        <v>242</v>
      </c>
      <c r="B186" t="s">
        <v>45</v>
      </c>
      <c r="C186" s="3">
        <v>45668</v>
      </c>
      <c r="D186" t="s">
        <v>37</v>
      </c>
      <c r="E186" t="s">
        <v>42</v>
      </c>
      <c r="F186">
        <v>21181</v>
      </c>
      <c r="G186">
        <v>1242</v>
      </c>
      <c r="H186">
        <v>963</v>
      </c>
      <c r="I186">
        <v>1689</v>
      </c>
      <c r="J186">
        <v>49329</v>
      </c>
      <c r="K186">
        <v>69165</v>
      </c>
      <c r="L186" t="s">
        <v>39</v>
      </c>
    </row>
    <row r="187" spans="1:12" x14ac:dyDescent="0.35">
      <c r="A187" t="s">
        <v>243</v>
      </c>
      <c r="B187" t="s">
        <v>45</v>
      </c>
      <c r="C187" s="3">
        <v>45528</v>
      </c>
      <c r="D187" t="s">
        <v>50</v>
      </c>
      <c r="E187" t="s">
        <v>47</v>
      </c>
      <c r="F187">
        <v>24890</v>
      </c>
      <c r="G187">
        <v>217</v>
      </c>
      <c r="H187">
        <v>178</v>
      </c>
      <c r="I187">
        <v>906</v>
      </c>
      <c r="J187">
        <v>54826</v>
      </c>
      <c r="K187">
        <v>107203</v>
      </c>
      <c r="L187" t="s">
        <v>48</v>
      </c>
    </row>
    <row r="188" spans="1:12" x14ac:dyDescent="0.35">
      <c r="A188" t="s">
        <v>244</v>
      </c>
      <c r="B188" t="s">
        <v>62</v>
      </c>
      <c r="C188" s="3">
        <v>45648</v>
      </c>
      <c r="D188" t="s">
        <v>46</v>
      </c>
      <c r="E188" t="s">
        <v>136</v>
      </c>
      <c r="F188">
        <v>7870</v>
      </c>
      <c r="G188">
        <v>968</v>
      </c>
      <c r="H188">
        <v>626</v>
      </c>
      <c r="I188">
        <v>465</v>
      </c>
      <c r="J188">
        <v>27184</v>
      </c>
      <c r="K188">
        <v>44114</v>
      </c>
      <c r="L188" t="s">
        <v>67</v>
      </c>
    </row>
    <row r="189" spans="1:12" x14ac:dyDescent="0.35">
      <c r="A189" t="s">
        <v>245</v>
      </c>
      <c r="B189" t="s">
        <v>36</v>
      </c>
      <c r="C189" s="3">
        <v>45449</v>
      </c>
      <c r="D189" t="s">
        <v>56</v>
      </c>
      <c r="E189" t="s">
        <v>136</v>
      </c>
      <c r="F189">
        <v>3531</v>
      </c>
      <c r="G189">
        <v>789</v>
      </c>
      <c r="H189">
        <v>467</v>
      </c>
      <c r="I189">
        <v>1867</v>
      </c>
      <c r="J189">
        <v>40816</v>
      </c>
      <c r="K189">
        <v>236037</v>
      </c>
      <c r="L189" t="s">
        <v>48</v>
      </c>
    </row>
    <row r="190" spans="1:12" x14ac:dyDescent="0.35">
      <c r="A190" t="s">
        <v>246</v>
      </c>
      <c r="B190" t="s">
        <v>36</v>
      </c>
      <c r="C190" s="3">
        <v>45740</v>
      </c>
      <c r="D190" t="s">
        <v>37</v>
      </c>
      <c r="E190" t="s">
        <v>18</v>
      </c>
      <c r="F190">
        <v>10172</v>
      </c>
      <c r="G190">
        <v>1398</v>
      </c>
      <c r="H190">
        <v>394</v>
      </c>
      <c r="I190">
        <v>2358</v>
      </c>
      <c r="J190">
        <v>59610</v>
      </c>
      <c r="K190">
        <v>76321</v>
      </c>
      <c r="L190" t="s">
        <v>52</v>
      </c>
    </row>
    <row r="191" spans="1:12" x14ac:dyDescent="0.35">
      <c r="A191" t="s">
        <v>247</v>
      </c>
      <c r="B191" t="s">
        <v>62</v>
      </c>
      <c r="C191" s="3">
        <v>45569</v>
      </c>
      <c r="D191" t="s">
        <v>37</v>
      </c>
      <c r="E191" t="s">
        <v>57</v>
      </c>
      <c r="F191">
        <v>21729</v>
      </c>
      <c r="G191">
        <v>1209</v>
      </c>
      <c r="H191">
        <v>897</v>
      </c>
      <c r="I191">
        <v>1624</v>
      </c>
      <c r="J191">
        <v>38771</v>
      </c>
      <c r="K191">
        <v>113297</v>
      </c>
      <c r="L191" t="s">
        <v>52</v>
      </c>
    </row>
    <row r="192" spans="1:12" x14ac:dyDescent="0.35">
      <c r="A192" t="s">
        <v>248</v>
      </c>
      <c r="B192" t="s">
        <v>36</v>
      </c>
      <c r="C192" s="3">
        <v>45944</v>
      </c>
      <c r="D192" t="s">
        <v>56</v>
      </c>
      <c r="E192" t="s">
        <v>77</v>
      </c>
      <c r="F192">
        <v>9673</v>
      </c>
      <c r="G192">
        <v>393</v>
      </c>
      <c r="H192">
        <v>846</v>
      </c>
      <c r="I192">
        <v>1028</v>
      </c>
      <c r="J192">
        <v>55556</v>
      </c>
      <c r="K192">
        <v>136652</v>
      </c>
      <c r="L192" t="s">
        <v>43</v>
      </c>
    </row>
    <row r="193" spans="1:12" x14ac:dyDescent="0.35">
      <c r="A193" t="s">
        <v>249</v>
      </c>
      <c r="B193" t="s">
        <v>36</v>
      </c>
      <c r="C193" s="3">
        <v>45945</v>
      </c>
      <c r="D193" t="s">
        <v>37</v>
      </c>
      <c r="E193" t="s">
        <v>59</v>
      </c>
      <c r="F193">
        <v>8882</v>
      </c>
      <c r="G193">
        <v>701</v>
      </c>
      <c r="H193">
        <v>421</v>
      </c>
      <c r="I193">
        <v>2343</v>
      </c>
      <c r="J193">
        <v>13588</v>
      </c>
      <c r="K193">
        <v>139304</v>
      </c>
      <c r="L193" t="s">
        <v>43</v>
      </c>
    </row>
    <row r="194" spans="1:12" x14ac:dyDescent="0.35">
      <c r="A194" t="s">
        <v>250</v>
      </c>
      <c r="B194" t="s">
        <v>45</v>
      </c>
      <c r="C194" s="3">
        <v>45546</v>
      </c>
      <c r="D194" t="s">
        <v>37</v>
      </c>
      <c r="E194" t="s">
        <v>59</v>
      </c>
      <c r="F194">
        <v>3906</v>
      </c>
      <c r="G194">
        <v>1187</v>
      </c>
      <c r="H194">
        <v>589</v>
      </c>
      <c r="I194">
        <v>401</v>
      </c>
      <c r="J194">
        <v>52687</v>
      </c>
      <c r="K194">
        <v>196498</v>
      </c>
      <c r="L194" t="s">
        <v>39</v>
      </c>
    </row>
    <row r="195" spans="1:12" x14ac:dyDescent="0.35">
      <c r="A195" t="s">
        <v>251</v>
      </c>
      <c r="B195" t="s">
        <v>36</v>
      </c>
      <c r="C195" s="3">
        <v>45567</v>
      </c>
      <c r="D195" t="s">
        <v>50</v>
      </c>
      <c r="E195" t="s">
        <v>57</v>
      </c>
      <c r="F195">
        <v>5086</v>
      </c>
      <c r="G195">
        <v>1336</v>
      </c>
      <c r="H195">
        <v>897</v>
      </c>
      <c r="I195">
        <v>1715</v>
      </c>
      <c r="J195">
        <v>60592</v>
      </c>
      <c r="K195">
        <v>57772</v>
      </c>
      <c r="L195" t="s">
        <v>48</v>
      </c>
    </row>
    <row r="196" spans="1:12" x14ac:dyDescent="0.35">
      <c r="A196" t="s">
        <v>252</v>
      </c>
      <c r="B196" t="s">
        <v>36</v>
      </c>
      <c r="C196" s="3">
        <v>45519</v>
      </c>
      <c r="D196" t="s">
        <v>37</v>
      </c>
      <c r="E196" t="s">
        <v>63</v>
      </c>
      <c r="F196">
        <v>15503</v>
      </c>
      <c r="G196">
        <v>313</v>
      </c>
      <c r="H196">
        <v>388</v>
      </c>
      <c r="I196">
        <v>1078</v>
      </c>
      <c r="J196">
        <v>11500</v>
      </c>
      <c r="K196">
        <v>143754</v>
      </c>
      <c r="L196" t="s">
        <v>52</v>
      </c>
    </row>
    <row r="197" spans="1:12" x14ac:dyDescent="0.35">
      <c r="A197" t="s">
        <v>253</v>
      </c>
      <c r="B197" t="s">
        <v>62</v>
      </c>
      <c r="C197" s="3">
        <v>45918</v>
      </c>
      <c r="D197" t="s">
        <v>46</v>
      </c>
      <c r="E197" t="s">
        <v>17</v>
      </c>
      <c r="F197">
        <v>10152</v>
      </c>
      <c r="G197">
        <v>1445</v>
      </c>
      <c r="H197">
        <v>526</v>
      </c>
      <c r="I197">
        <v>513</v>
      </c>
      <c r="J197">
        <v>18959</v>
      </c>
      <c r="K197">
        <v>43712</v>
      </c>
      <c r="L197" t="s">
        <v>43</v>
      </c>
    </row>
    <row r="198" spans="1:12" x14ac:dyDescent="0.35">
      <c r="A198" t="s">
        <v>254</v>
      </c>
      <c r="B198" t="s">
        <v>62</v>
      </c>
      <c r="C198" s="3">
        <v>45587</v>
      </c>
      <c r="D198" t="s">
        <v>46</v>
      </c>
      <c r="E198" t="s">
        <v>47</v>
      </c>
      <c r="F198">
        <v>7750</v>
      </c>
      <c r="G198">
        <v>1146</v>
      </c>
      <c r="H198">
        <v>415</v>
      </c>
      <c r="I198">
        <v>1411</v>
      </c>
      <c r="J198">
        <v>85339</v>
      </c>
      <c r="K198">
        <v>172439</v>
      </c>
      <c r="L198" t="s">
        <v>48</v>
      </c>
    </row>
    <row r="199" spans="1:12" x14ac:dyDescent="0.35">
      <c r="A199" t="s">
        <v>255</v>
      </c>
      <c r="B199" t="s">
        <v>41</v>
      </c>
      <c r="C199" s="3">
        <v>45919</v>
      </c>
      <c r="D199" t="s">
        <v>56</v>
      </c>
      <c r="E199" t="s">
        <v>51</v>
      </c>
      <c r="F199">
        <v>14772</v>
      </c>
      <c r="G199">
        <v>1030</v>
      </c>
      <c r="H199">
        <v>508</v>
      </c>
      <c r="I199">
        <v>1876</v>
      </c>
      <c r="J199">
        <v>8882</v>
      </c>
      <c r="K199">
        <v>155142</v>
      </c>
      <c r="L199" t="s">
        <v>43</v>
      </c>
    </row>
    <row r="200" spans="1:12" x14ac:dyDescent="0.35">
      <c r="A200" t="s">
        <v>256</v>
      </c>
      <c r="B200" t="s">
        <v>45</v>
      </c>
      <c r="C200" s="3">
        <v>45920</v>
      </c>
      <c r="D200" t="s">
        <v>37</v>
      </c>
      <c r="E200" t="s">
        <v>59</v>
      </c>
      <c r="F200">
        <v>12267</v>
      </c>
      <c r="G200">
        <v>1487</v>
      </c>
      <c r="H200">
        <v>489</v>
      </c>
      <c r="I200">
        <v>2748</v>
      </c>
      <c r="J200">
        <v>34685</v>
      </c>
      <c r="K200">
        <v>131736</v>
      </c>
      <c r="L200" t="s">
        <v>43</v>
      </c>
    </row>
    <row r="201" spans="1:12" x14ac:dyDescent="0.35">
      <c r="A201" t="s">
        <v>257</v>
      </c>
      <c r="B201" t="s">
        <v>36</v>
      </c>
      <c r="C201" s="3">
        <v>45754</v>
      </c>
      <c r="D201" t="s">
        <v>56</v>
      </c>
      <c r="E201" t="s">
        <v>77</v>
      </c>
      <c r="F201">
        <v>3062</v>
      </c>
      <c r="G201">
        <v>1124</v>
      </c>
      <c r="H201">
        <v>538</v>
      </c>
      <c r="I201">
        <v>2935</v>
      </c>
      <c r="J201">
        <v>69749</v>
      </c>
      <c r="K201">
        <v>91924</v>
      </c>
      <c r="L201" t="s">
        <v>52</v>
      </c>
    </row>
    <row r="202" spans="1:12" x14ac:dyDescent="0.35">
      <c r="A202" t="s">
        <v>258</v>
      </c>
      <c r="B202" t="s">
        <v>36</v>
      </c>
      <c r="C202" s="3">
        <v>45672</v>
      </c>
      <c r="D202" t="s">
        <v>46</v>
      </c>
      <c r="E202" t="s">
        <v>18</v>
      </c>
      <c r="F202">
        <v>20360</v>
      </c>
      <c r="G202">
        <v>254</v>
      </c>
      <c r="H202">
        <v>726</v>
      </c>
      <c r="I202">
        <v>1995</v>
      </c>
      <c r="J202">
        <v>14280</v>
      </c>
      <c r="K202">
        <v>43726</v>
      </c>
      <c r="L202" t="s">
        <v>52</v>
      </c>
    </row>
    <row r="203" spans="1:12" x14ac:dyDescent="0.35">
      <c r="A203" t="s">
        <v>259</v>
      </c>
      <c r="B203" t="s">
        <v>41</v>
      </c>
      <c r="C203" s="3">
        <v>45921</v>
      </c>
      <c r="D203" t="s">
        <v>37</v>
      </c>
      <c r="E203" t="s">
        <v>136</v>
      </c>
      <c r="F203">
        <v>19680</v>
      </c>
      <c r="G203">
        <v>999</v>
      </c>
      <c r="H203">
        <v>838</v>
      </c>
      <c r="I203">
        <v>891</v>
      </c>
      <c r="J203">
        <v>29576</v>
      </c>
      <c r="K203">
        <v>129152</v>
      </c>
      <c r="L203" t="s">
        <v>43</v>
      </c>
    </row>
    <row r="204" spans="1:12" x14ac:dyDescent="0.35">
      <c r="A204" t="s">
        <v>260</v>
      </c>
      <c r="B204" t="s">
        <v>36</v>
      </c>
      <c r="C204" s="3">
        <v>45617</v>
      </c>
      <c r="D204" t="s">
        <v>37</v>
      </c>
      <c r="E204" t="s">
        <v>59</v>
      </c>
      <c r="F204">
        <v>8229</v>
      </c>
      <c r="G204">
        <v>977</v>
      </c>
      <c r="H204">
        <v>152</v>
      </c>
      <c r="I204">
        <v>1633</v>
      </c>
      <c r="J204">
        <v>71447</v>
      </c>
      <c r="K204">
        <v>67723</v>
      </c>
      <c r="L204" t="s">
        <v>67</v>
      </c>
    </row>
    <row r="205" spans="1:12" x14ac:dyDescent="0.35">
      <c r="A205" t="s">
        <v>261</v>
      </c>
      <c r="B205" t="s">
        <v>45</v>
      </c>
      <c r="C205" s="3">
        <v>45922</v>
      </c>
      <c r="D205" t="s">
        <v>56</v>
      </c>
      <c r="E205" t="s">
        <v>18</v>
      </c>
      <c r="F205">
        <v>18509</v>
      </c>
      <c r="G205">
        <v>361</v>
      </c>
      <c r="H205">
        <v>578</v>
      </c>
      <c r="I205">
        <v>1409</v>
      </c>
      <c r="J205">
        <v>10569</v>
      </c>
      <c r="K205">
        <v>166969</v>
      </c>
      <c r="L205" t="s">
        <v>43</v>
      </c>
    </row>
    <row r="206" spans="1:12" x14ac:dyDescent="0.35">
      <c r="A206" t="s">
        <v>262</v>
      </c>
      <c r="B206" t="s">
        <v>41</v>
      </c>
      <c r="C206" s="3">
        <v>45923</v>
      </c>
      <c r="D206" t="s">
        <v>46</v>
      </c>
      <c r="E206" t="s">
        <v>72</v>
      </c>
      <c r="F206">
        <v>17147</v>
      </c>
      <c r="G206">
        <v>286</v>
      </c>
      <c r="H206">
        <v>291</v>
      </c>
      <c r="I206">
        <v>2439</v>
      </c>
      <c r="J206">
        <v>45631</v>
      </c>
      <c r="K206">
        <v>140494</v>
      </c>
      <c r="L206" t="s">
        <v>43</v>
      </c>
    </row>
    <row r="207" spans="1:12" x14ac:dyDescent="0.35">
      <c r="A207" t="s">
        <v>263</v>
      </c>
      <c r="B207" t="s">
        <v>45</v>
      </c>
      <c r="C207" s="3">
        <v>45467</v>
      </c>
      <c r="D207" t="s">
        <v>37</v>
      </c>
      <c r="E207" t="s">
        <v>72</v>
      </c>
      <c r="F207">
        <v>6632</v>
      </c>
      <c r="G207">
        <v>254</v>
      </c>
      <c r="H207">
        <v>525</v>
      </c>
      <c r="I207">
        <v>1013</v>
      </c>
      <c r="J207">
        <v>13838</v>
      </c>
      <c r="K207">
        <v>180180</v>
      </c>
      <c r="L207" t="s">
        <v>39</v>
      </c>
    </row>
    <row r="208" spans="1:12" x14ac:dyDescent="0.35">
      <c r="A208" t="s">
        <v>264</v>
      </c>
      <c r="B208" t="s">
        <v>41</v>
      </c>
      <c r="C208" s="3">
        <v>45655</v>
      </c>
      <c r="D208" t="s">
        <v>56</v>
      </c>
      <c r="E208" t="s">
        <v>17</v>
      </c>
      <c r="F208">
        <v>8288</v>
      </c>
      <c r="G208">
        <v>1401</v>
      </c>
      <c r="H208">
        <v>819</v>
      </c>
      <c r="I208">
        <v>1235</v>
      </c>
      <c r="J208">
        <v>33446</v>
      </c>
      <c r="K208">
        <v>248786</v>
      </c>
      <c r="L208" t="s">
        <v>39</v>
      </c>
    </row>
    <row r="209" spans="1:12" x14ac:dyDescent="0.35">
      <c r="A209" t="s">
        <v>265</v>
      </c>
      <c r="B209" t="s">
        <v>41</v>
      </c>
      <c r="C209" s="3">
        <v>45467</v>
      </c>
      <c r="D209" t="s">
        <v>46</v>
      </c>
      <c r="E209" t="s">
        <v>42</v>
      </c>
      <c r="F209">
        <v>5596</v>
      </c>
      <c r="G209">
        <v>1231</v>
      </c>
      <c r="H209">
        <v>473</v>
      </c>
      <c r="I209">
        <v>2251</v>
      </c>
      <c r="J209">
        <v>43705</v>
      </c>
      <c r="K209">
        <v>75643</v>
      </c>
      <c r="L209" t="s">
        <v>39</v>
      </c>
    </row>
    <row r="210" spans="1:12" x14ac:dyDescent="0.35">
      <c r="A210" t="s">
        <v>266</v>
      </c>
      <c r="B210" t="s">
        <v>62</v>
      </c>
      <c r="C210" s="3">
        <v>45735</v>
      </c>
      <c r="D210" t="s">
        <v>56</v>
      </c>
      <c r="E210" t="s">
        <v>51</v>
      </c>
      <c r="F210">
        <v>13475</v>
      </c>
      <c r="G210">
        <v>1032</v>
      </c>
      <c r="H210">
        <v>295</v>
      </c>
      <c r="I210">
        <v>541</v>
      </c>
      <c r="J210">
        <v>43666</v>
      </c>
      <c r="K210">
        <v>202396</v>
      </c>
      <c r="L210" t="s">
        <v>67</v>
      </c>
    </row>
    <row r="211" spans="1:12" x14ac:dyDescent="0.35">
      <c r="A211" t="s">
        <v>267</v>
      </c>
      <c r="B211" t="s">
        <v>45</v>
      </c>
      <c r="C211" s="3">
        <v>45707</v>
      </c>
      <c r="D211" t="s">
        <v>50</v>
      </c>
      <c r="E211" t="s">
        <v>63</v>
      </c>
      <c r="F211">
        <v>8168</v>
      </c>
      <c r="G211">
        <v>512</v>
      </c>
      <c r="H211">
        <v>442</v>
      </c>
      <c r="I211">
        <v>2343</v>
      </c>
      <c r="J211">
        <v>2753</v>
      </c>
      <c r="K211">
        <v>143896</v>
      </c>
      <c r="L211" t="s">
        <v>67</v>
      </c>
    </row>
    <row r="212" spans="1:12" x14ac:dyDescent="0.35">
      <c r="A212" t="s">
        <v>268</v>
      </c>
      <c r="B212" t="s">
        <v>36</v>
      </c>
      <c r="C212" s="3">
        <v>45924</v>
      </c>
      <c r="D212" t="s">
        <v>37</v>
      </c>
      <c r="E212" t="s">
        <v>17</v>
      </c>
      <c r="F212">
        <v>11795</v>
      </c>
      <c r="G212">
        <v>958</v>
      </c>
      <c r="H212">
        <v>814</v>
      </c>
      <c r="I212">
        <v>301</v>
      </c>
      <c r="J212">
        <v>12564</v>
      </c>
      <c r="K212">
        <v>179999</v>
      </c>
      <c r="L212" t="s">
        <v>43</v>
      </c>
    </row>
    <row r="213" spans="1:12" x14ac:dyDescent="0.35">
      <c r="A213" t="s">
        <v>269</v>
      </c>
      <c r="B213" t="s">
        <v>36</v>
      </c>
      <c r="C213" s="3">
        <v>45719</v>
      </c>
      <c r="D213" t="s">
        <v>50</v>
      </c>
      <c r="E213" t="s">
        <v>38</v>
      </c>
      <c r="F213">
        <v>9561</v>
      </c>
      <c r="G213">
        <v>642</v>
      </c>
      <c r="H213">
        <v>581</v>
      </c>
      <c r="I213">
        <v>2572</v>
      </c>
      <c r="J213">
        <v>38552</v>
      </c>
      <c r="K213">
        <v>133680</v>
      </c>
      <c r="L213" t="s">
        <v>39</v>
      </c>
    </row>
    <row r="214" spans="1:12" x14ac:dyDescent="0.35">
      <c r="A214" t="s">
        <v>270</v>
      </c>
      <c r="B214" t="s">
        <v>45</v>
      </c>
      <c r="C214" s="3">
        <v>45778</v>
      </c>
      <c r="D214" t="s">
        <v>46</v>
      </c>
      <c r="E214" t="s">
        <v>63</v>
      </c>
      <c r="F214">
        <v>10258</v>
      </c>
      <c r="G214">
        <v>527</v>
      </c>
      <c r="H214">
        <v>854</v>
      </c>
      <c r="I214">
        <v>2068</v>
      </c>
      <c r="J214">
        <v>45632</v>
      </c>
      <c r="K214">
        <v>136546</v>
      </c>
      <c r="L214" t="s">
        <v>67</v>
      </c>
    </row>
    <row r="215" spans="1:12" x14ac:dyDescent="0.35">
      <c r="A215" t="s">
        <v>271</v>
      </c>
      <c r="B215" t="s">
        <v>36</v>
      </c>
      <c r="C215" s="3">
        <v>45649</v>
      </c>
      <c r="D215" t="s">
        <v>50</v>
      </c>
      <c r="E215" t="s">
        <v>47</v>
      </c>
      <c r="F215">
        <v>18616</v>
      </c>
      <c r="G215">
        <v>1277</v>
      </c>
      <c r="H215">
        <v>734</v>
      </c>
      <c r="I215">
        <v>2249</v>
      </c>
      <c r="J215">
        <v>3399</v>
      </c>
      <c r="K215">
        <v>193515</v>
      </c>
      <c r="L215" t="s">
        <v>52</v>
      </c>
    </row>
    <row r="216" spans="1:12" x14ac:dyDescent="0.35">
      <c r="A216" t="s">
        <v>272</v>
      </c>
      <c r="B216" t="s">
        <v>36</v>
      </c>
      <c r="C216" s="3">
        <v>45925</v>
      </c>
      <c r="D216" t="s">
        <v>50</v>
      </c>
      <c r="E216" t="s">
        <v>77</v>
      </c>
      <c r="F216">
        <v>8371</v>
      </c>
      <c r="G216">
        <v>960</v>
      </c>
      <c r="H216">
        <v>548</v>
      </c>
      <c r="I216">
        <v>2936</v>
      </c>
      <c r="J216">
        <v>82543</v>
      </c>
      <c r="K216">
        <v>119973</v>
      </c>
      <c r="L216" t="s">
        <v>43</v>
      </c>
    </row>
    <row r="217" spans="1:12" x14ac:dyDescent="0.35">
      <c r="A217" t="s">
        <v>273</v>
      </c>
      <c r="B217" t="s">
        <v>45</v>
      </c>
      <c r="C217" s="3">
        <v>45502</v>
      </c>
      <c r="D217" t="s">
        <v>46</v>
      </c>
      <c r="E217" t="s">
        <v>38</v>
      </c>
      <c r="F217">
        <v>22590</v>
      </c>
      <c r="G217">
        <v>1462</v>
      </c>
      <c r="H217">
        <v>966</v>
      </c>
      <c r="I217">
        <v>2463</v>
      </c>
      <c r="J217">
        <v>29689</v>
      </c>
      <c r="K217">
        <v>103449</v>
      </c>
      <c r="L217" t="s">
        <v>48</v>
      </c>
    </row>
    <row r="218" spans="1:12" x14ac:dyDescent="0.35">
      <c r="A218" t="s">
        <v>274</v>
      </c>
      <c r="B218" t="s">
        <v>41</v>
      </c>
      <c r="C218" s="3">
        <v>45926</v>
      </c>
      <c r="D218" t="s">
        <v>56</v>
      </c>
      <c r="E218" t="s">
        <v>38</v>
      </c>
      <c r="F218">
        <v>16369</v>
      </c>
      <c r="G218">
        <v>1452</v>
      </c>
      <c r="H218">
        <v>493</v>
      </c>
      <c r="I218">
        <v>1217</v>
      </c>
      <c r="J218">
        <v>91440</v>
      </c>
      <c r="K218">
        <v>149834</v>
      </c>
      <c r="L218" t="s">
        <v>43</v>
      </c>
    </row>
    <row r="219" spans="1:12" x14ac:dyDescent="0.35">
      <c r="A219" t="s">
        <v>275</v>
      </c>
      <c r="B219" t="s">
        <v>45</v>
      </c>
      <c r="C219" s="3">
        <v>45454</v>
      </c>
      <c r="D219" t="s">
        <v>50</v>
      </c>
      <c r="E219" t="s">
        <v>17</v>
      </c>
      <c r="F219">
        <v>14910</v>
      </c>
      <c r="G219">
        <v>778</v>
      </c>
      <c r="H219">
        <v>289</v>
      </c>
      <c r="I219">
        <v>2541</v>
      </c>
      <c r="J219">
        <v>14309</v>
      </c>
      <c r="K219">
        <v>247815</v>
      </c>
      <c r="L219" t="s">
        <v>48</v>
      </c>
    </row>
    <row r="220" spans="1:12" x14ac:dyDescent="0.35">
      <c r="A220" t="s">
        <v>276</v>
      </c>
      <c r="B220" t="s">
        <v>41</v>
      </c>
      <c r="C220" s="3">
        <v>45685</v>
      </c>
      <c r="D220" t="s">
        <v>56</v>
      </c>
      <c r="E220" t="s">
        <v>57</v>
      </c>
      <c r="F220">
        <v>9943</v>
      </c>
      <c r="G220">
        <v>1274</v>
      </c>
      <c r="H220">
        <v>336</v>
      </c>
      <c r="I220">
        <v>389</v>
      </c>
      <c r="J220">
        <v>6145</v>
      </c>
      <c r="K220">
        <v>231305</v>
      </c>
      <c r="L220" t="s">
        <v>39</v>
      </c>
    </row>
    <row r="221" spans="1:12" x14ac:dyDescent="0.35">
      <c r="A221" t="s">
        <v>277</v>
      </c>
      <c r="B221" t="s">
        <v>36</v>
      </c>
      <c r="C221" s="3">
        <v>45445</v>
      </c>
      <c r="D221" t="s">
        <v>50</v>
      </c>
      <c r="E221" t="s">
        <v>42</v>
      </c>
      <c r="F221">
        <v>14199</v>
      </c>
      <c r="G221">
        <v>1206</v>
      </c>
      <c r="H221">
        <v>954</v>
      </c>
      <c r="I221">
        <v>2009</v>
      </c>
      <c r="J221">
        <v>8</v>
      </c>
      <c r="K221">
        <v>65537</v>
      </c>
      <c r="L221" t="s">
        <v>48</v>
      </c>
    </row>
    <row r="222" spans="1:12" x14ac:dyDescent="0.35">
      <c r="A222" t="s">
        <v>278</v>
      </c>
      <c r="B222" t="s">
        <v>36</v>
      </c>
      <c r="C222" s="3">
        <v>45739</v>
      </c>
      <c r="D222" t="s">
        <v>56</v>
      </c>
      <c r="E222" t="s">
        <v>57</v>
      </c>
      <c r="F222">
        <v>17728</v>
      </c>
      <c r="G222">
        <v>1487</v>
      </c>
      <c r="H222">
        <v>210</v>
      </c>
      <c r="I222">
        <v>2469</v>
      </c>
      <c r="J222">
        <v>30565</v>
      </c>
      <c r="K222">
        <v>117576</v>
      </c>
      <c r="L222" t="s">
        <v>39</v>
      </c>
    </row>
    <row r="223" spans="1:12" x14ac:dyDescent="0.35">
      <c r="A223" t="s">
        <v>279</v>
      </c>
      <c r="B223" t="s">
        <v>36</v>
      </c>
      <c r="C223" s="3">
        <v>45573</v>
      </c>
      <c r="D223" t="s">
        <v>46</v>
      </c>
      <c r="E223" t="s">
        <v>17</v>
      </c>
      <c r="F223">
        <v>8738</v>
      </c>
      <c r="G223">
        <v>295</v>
      </c>
      <c r="H223">
        <v>529</v>
      </c>
      <c r="I223">
        <v>442</v>
      </c>
      <c r="J223">
        <v>25286</v>
      </c>
      <c r="K223">
        <v>147522</v>
      </c>
      <c r="L223" t="s">
        <v>52</v>
      </c>
    </row>
    <row r="224" spans="1:12" x14ac:dyDescent="0.35">
      <c r="A224" t="s">
        <v>280</v>
      </c>
      <c r="B224" t="s">
        <v>62</v>
      </c>
      <c r="C224" s="3">
        <v>45608</v>
      </c>
      <c r="D224" t="s">
        <v>50</v>
      </c>
      <c r="E224" t="s">
        <v>47</v>
      </c>
      <c r="F224">
        <v>17913</v>
      </c>
      <c r="G224">
        <v>1311</v>
      </c>
      <c r="H224">
        <v>859</v>
      </c>
      <c r="I224">
        <v>405</v>
      </c>
      <c r="J224">
        <v>59842</v>
      </c>
      <c r="K224">
        <v>62612</v>
      </c>
      <c r="L224" t="s">
        <v>48</v>
      </c>
    </row>
    <row r="225" spans="1:12" x14ac:dyDescent="0.35">
      <c r="A225" t="s">
        <v>281</v>
      </c>
      <c r="B225" t="s">
        <v>41</v>
      </c>
      <c r="C225" s="3">
        <v>45907</v>
      </c>
      <c r="D225" t="s">
        <v>46</v>
      </c>
      <c r="E225" t="s">
        <v>136</v>
      </c>
      <c r="F225">
        <v>4472</v>
      </c>
      <c r="G225">
        <v>1301</v>
      </c>
      <c r="H225">
        <v>956</v>
      </c>
      <c r="I225">
        <v>1186</v>
      </c>
      <c r="J225">
        <v>3363</v>
      </c>
      <c r="K225">
        <v>46471</v>
      </c>
      <c r="L225" t="s">
        <v>43</v>
      </c>
    </row>
    <row r="226" spans="1:12" x14ac:dyDescent="0.35">
      <c r="A226" t="s">
        <v>282</v>
      </c>
      <c r="B226" t="s">
        <v>62</v>
      </c>
      <c r="C226" s="3">
        <v>45463</v>
      </c>
      <c r="D226" t="s">
        <v>50</v>
      </c>
      <c r="E226" t="s">
        <v>59</v>
      </c>
      <c r="F226">
        <v>21123</v>
      </c>
      <c r="G226">
        <v>1343</v>
      </c>
      <c r="H226">
        <v>589</v>
      </c>
      <c r="I226">
        <v>727</v>
      </c>
      <c r="J226">
        <v>87833</v>
      </c>
      <c r="K226">
        <v>206703</v>
      </c>
      <c r="L226" t="s">
        <v>39</v>
      </c>
    </row>
    <row r="227" spans="1:12" x14ac:dyDescent="0.35">
      <c r="A227" t="s">
        <v>283</v>
      </c>
      <c r="B227" t="s">
        <v>62</v>
      </c>
      <c r="C227" s="3">
        <v>45908</v>
      </c>
      <c r="D227" t="s">
        <v>46</v>
      </c>
      <c r="E227" t="s">
        <v>59</v>
      </c>
      <c r="F227">
        <v>23785</v>
      </c>
      <c r="G227">
        <v>1013</v>
      </c>
      <c r="H227">
        <v>468</v>
      </c>
      <c r="I227">
        <v>1628</v>
      </c>
      <c r="J227">
        <v>8272</v>
      </c>
      <c r="K227">
        <v>71348</v>
      </c>
      <c r="L227" t="s">
        <v>43</v>
      </c>
    </row>
    <row r="228" spans="1:12" x14ac:dyDescent="0.35">
      <c r="A228" t="s">
        <v>284</v>
      </c>
      <c r="B228" t="s">
        <v>45</v>
      </c>
      <c r="C228" s="3">
        <v>45455</v>
      </c>
      <c r="D228" t="s">
        <v>46</v>
      </c>
      <c r="E228" t="s">
        <v>42</v>
      </c>
      <c r="F228">
        <v>17679</v>
      </c>
      <c r="G228">
        <v>690</v>
      </c>
      <c r="H228">
        <v>451</v>
      </c>
      <c r="I228">
        <v>2195</v>
      </c>
      <c r="J228">
        <v>4390</v>
      </c>
      <c r="K228">
        <v>235804</v>
      </c>
      <c r="L228" t="s">
        <v>67</v>
      </c>
    </row>
    <row r="229" spans="1:12" x14ac:dyDescent="0.35">
      <c r="A229" t="s">
        <v>285</v>
      </c>
      <c r="B229" t="s">
        <v>62</v>
      </c>
      <c r="C229" s="3">
        <v>45474</v>
      </c>
      <c r="D229" t="s">
        <v>50</v>
      </c>
      <c r="E229" t="s">
        <v>47</v>
      </c>
      <c r="F229">
        <v>3761</v>
      </c>
      <c r="G229">
        <v>651</v>
      </c>
      <c r="H229">
        <v>493</v>
      </c>
      <c r="I229">
        <v>2294</v>
      </c>
      <c r="J229">
        <v>71696</v>
      </c>
      <c r="K229">
        <v>41177</v>
      </c>
      <c r="L229" t="s">
        <v>39</v>
      </c>
    </row>
    <row r="230" spans="1:12" x14ac:dyDescent="0.35">
      <c r="A230" t="s">
        <v>286</v>
      </c>
      <c r="B230" t="s">
        <v>45</v>
      </c>
      <c r="C230" s="3">
        <v>45476</v>
      </c>
      <c r="D230" t="s">
        <v>50</v>
      </c>
      <c r="E230" t="s">
        <v>42</v>
      </c>
      <c r="F230">
        <v>12167</v>
      </c>
      <c r="G230">
        <v>364</v>
      </c>
      <c r="H230">
        <v>160</v>
      </c>
      <c r="I230">
        <v>616</v>
      </c>
      <c r="J230">
        <v>42228</v>
      </c>
      <c r="K230">
        <v>175832</v>
      </c>
      <c r="L230" t="s">
        <v>48</v>
      </c>
    </row>
    <row r="231" spans="1:12" x14ac:dyDescent="0.35">
      <c r="A231" t="s">
        <v>287</v>
      </c>
      <c r="B231" t="s">
        <v>45</v>
      </c>
      <c r="C231" s="3">
        <v>45488</v>
      </c>
      <c r="D231" t="s">
        <v>50</v>
      </c>
      <c r="E231" t="s">
        <v>18</v>
      </c>
      <c r="F231">
        <v>12554</v>
      </c>
      <c r="G231">
        <v>381</v>
      </c>
      <c r="H231">
        <v>211</v>
      </c>
      <c r="I231">
        <v>2286</v>
      </c>
      <c r="J231">
        <v>50567</v>
      </c>
      <c r="K231">
        <v>72779</v>
      </c>
      <c r="L231" t="s">
        <v>39</v>
      </c>
    </row>
    <row r="232" spans="1:12" x14ac:dyDescent="0.35">
      <c r="A232" t="s">
        <v>288</v>
      </c>
      <c r="B232" t="s">
        <v>62</v>
      </c>
      <c r="C232" s="3">
        <v>45909</v>
      </c>
      <c r="D232" t="s">
        <v>37</v>
      </c>
      <c r="E232" t="s">
        <v>57</v>
      </c>
      <c r="F232">
        <v>19260</v>
      </c>
      <c r="G232">
        <v>668</v>
      </c>
      <c r="H232">
        <v>994</v>
      </c>
      <c r="I232">
        <v>934</v>
      </c>
      <c r="J232">
        <v>20509</v>
      </c>
      <c r="K232">
        <v>61636</v>
      </c>
      <c r="L232" t="s">
        <v>43</v>
      </c>
    </row>
    <row r="233" spans="1:12" x14ac:dyDescent="0.35">
      <c r="A233" t="s">
        <v>289</v>
      </c>
      <c r="B233" t="s">
        <v>41</v>
      </c>
      <c r="C233" s="3">
        <v>45776</v>
      </c>
      <c r="D233" t="s">
        <v>56</v>
      </c>
      <c r="E233" t="s">
        <v>59</v>
      </c>
      <c r="F233">
        <v>16277</v>
      </c>
      <c r="G233">
        <v>1109</v>
      </c>
      <c r="H233">
        <v>375</v>
      </c>
      <c r="I233">
        <v>2225</v>
      </c>
      <c r="J233">
        <v>1044</v>
      </c>
      <c r="K233">
        <v>121889</v>
      </c>
      <c r="L233" t="s">
        <v>52</v>
      </c>
    </row>
    <row r="234" spans="1:12" x14ac:dyDescent="0.35">
      <c r="A234" t="s">
        <v>290</v>
      </c>
      <c r="B234" t="s">
        <v>41</v>
      </c>
      <c r="C234" s="3">
        <v>45724</v>
      </c>
      <c r="D234" t="s">
        <v>37</v>
      </c>
      <c r="E234" t="s">
        <v>38</v>
      </c>
      <c r="F234">
        <v>5812</v>
      </c>
      <c r="G234">
        <v>934</v>
      </c>
      <c r="H234">
        <v>302</v>
      </c>
      <c r="I234">
        <v>2356</v>
      </c>
      <c r="J234">
        <v>37437</v>
      </c>
      <c r="K234">
        <v>93551</v>
      </c>
      <c r="L234" t="s">
        <v>39</v>
      </c>
    </row>
    <row r="235" spans="1:12" x14ac:dyDescent="0.35">
      <c r="A235" t="s">
        <v>291</v>
      </c>
      <c r="B235" t="s">
        <v>41</v>
      </c>
      <c r="C235" s="3">
        <v>45444</v>
      </c>
      <c r="D235" t="s">
        <v>37</v>
      </c>
      <c r="E235" t="s">
        <v>57</v>
      </c>
      <c r="F235">
        <v>19844</v>
      </c>
      <c r="G235">
        <v>1022</v>
      </c>
      <c r="H235">
        <v>860</v>
      </c>
      <c r="I235">
        <v>2570</v>
      </c>
      <c r="J235">
        <v>23719</v>
      </c>
      <c r="K235">
        <v>182628</v>
      </c>
      <c r="L235" t="s">
        <v>48</v>
      </c>
    </row>
    <row r="236" spans="1:12" x14ac:dyDescent="0.35">
      <c r="A236" t="s">
        <v>292</v>
      </c>
      <c r="B236" t="s">
        <v>41</v>
      </c>
      <c r="C236" s="3">
        <v>45648</v>
      </c>
      <c r="D236" t="s">
        <v>46</v>
      </c>
      <c r="E236" t="s">
        <v>51</v>
      </c>
      <c r="F236">
        <v>20117</v>
      </c>
      <c r="G236">
        <v>1143</v>
      </c>
      <c r="H236">
        <v>713</v>
      </c>
      <c r="I236">
        <v>1739</v>
      </c>
      <c r="J236">
        <v>34444</v>
      </c>
      <c r="K236">
        <v>198670</v>
      </c>
      <c r="L236" t="s">
        <v>67</v>
      </c>
    </row>
    <row r="237" spans="1:12" x14ac:dyDescent="0.35">
      <c r="A237" t="s">
        <v>293</v>
      </c>
      <c r="B237" t="s">
        <v>41</v>
      </c>
      <c r="C237" s="3">
        <v>45523</v>
      </c>
      <c r="D237" t="s">
        <v>50</v>
      </c>
      <c r="E237" t="s">
        <v>77</v>
      </c>
      <c r="F237">
        <v>3605</v>
      </c>
      <c r="G237">
        <v>206</v>
      </c>
      <c r="H237">
        <v>921</v>
      </c>
      <c r="I237">
        <v>852</v>
      </c>
      <c r="J237">
        <v>11660</v>
      </c>
      <c r="K237">
        <v>182635</v>
      </c>
      <c r="L237" t="s">
        <v>52</v>
      </c>
    </row>
    <row r="238" spans="1:12" x14ac:dyDescent="0.35">
      <c r="A238" t="s">
        <v>294</v>
      </c>
      <c r="B238" t="s">
        <v>62</v>
      </c>
      <c r="C238" s="3">
        <v>45587</v>
      </c>
      <c r="D238" t="s">
        <v>56</v>
      </c>
      <c r="E238" t="s">
        <v>47</v>
      </c>
      <c r="F238">
        <v>7622</v>
      </c>
      <c r="G238">
        <v>529</v>
      </c>
      <c r="H238">
        <v>720</v>
      </c>
      <c r="I238">
        <v>1015</v>
      </c>
      <c r="J238">
        <v>71322</v>
      </c>
      <c r="K238">
        <v>86819</v>
      </c>
      <c r="L238" t="s">
        <v>67</v>
      </c>
    </row>
    <row r="239" spans="1:12" x14ac:dyDescent="0.35">
      <c r="A239" t="s">
        <v>295</v>
      </c>
      <c r="B239" t="s">
        <v>62</v>
      </c>
      <c r="C239" s="3">
        <v>45489</v>
      </c>
      <c r="D239" t="s">
        <v>46</v>
      </c>
      <c r="E239" t="s">
        <v>63</v>
      </c>
      <c r="F239">
        <v>8767</v>
      </c>
      <c r="G239">
        <v>974</v>
      </c>
      <c r="H239">
        <v>733</v>
      </c>
      <c r="I239">
        <v>1587</v>
      </c>
      <c r="J239">
        <v>74927</v>
      </c>
      <c r="K239">
        <v>113770</v>
      </c>
      <c r="L239" t="s">
        <v>39</v>
      </c>
    </row>
    <row r="240" spans="1:12" x14ac:dyDescent="0.35">
      <c r="A240" t="s">
        <v>296</v>
      </c>
      <c r="B240" t="s">
        <v>36</v>
      </c>
      <c r="C240" s="3">
        <v>45910</v>
      </c>
      <c r="D240" t="s">
        <v>37</v>
      </c>
      <c r="E240" t="s">
        <v>42</v>
      </c>
      <c r="F240">
        <v>13613</v>
      </c>
      <c r="G240">
        <v>350</v>
      </c>
      <c r="H240">
        <v>809</v>
      </c>
      <c r="I240">
        <v>2013</v>
      </c>
      <c r="J240">
        <v>20471</v>
      </c>
      <c r="K240">
        <v>198038</v>
      </c>
      <c r="L240" t="s">
        <v>43</v>
      </c>
    </row>
    <row r="241" spans="1:12" x14ac:dyDescent="0.35">
      <c r="A241" t="s">
        <v>297</v>
      </c>
      <c r="B241" t="s">
        <v>41</v>
      </c>
      <c r="C241" s="3">
        <v>45911</v>
      </c>
      <c r="D241" t="s">
        <v>50</v>
      </c>
      <c r="E241" t="s">
        <v>57</v>
      </c>
      <c r="F241">
        <v>21901</v>
      </c>
      <c r="G241">
        <v>1308</v>
      </c>
      <c r="H241">
        <v>724</v>
      </c>
      <c r="I241">
        <v>2183</v>
      </c>
      <c r="J241">
        <v>15996</v>
      </c>
      <c r="K241">
        <v>230961</v>
      </c>
      <c r="L241" t="s">
        <v>43</v>
      </c>
    </row>
    <row r="242" spans="1:12" x14ac:dyDescent="0.35">
      <c r="A242" t="s">
        <v>298</v>
      </c>
      <c r="B242" t="s">
        <v>62</v>
      </c>
      <c r="C242" s="3">
        <v>45675</v>
      </c>
      <c r="D242" t="s">
        <v>46</v>
      </c>
      <c r="E242" t="s">
        <v>77</v>
      </c>
      <c r="F242">
        <v>12589</v>
      </c>
      <c r="G242">
        <v>346</v>
      </c>
      <c r="H242">
        <v>459</v>
      </c>
      <c r="I242">
        <v>1407</v>
      </c>
      <c r="J242">
        <v>29254</v>
      </c>
      <c r="K242">
        <v>198059</v>
      </c>
      <c r="L242" t="s">
        <v>48</v>
      </c>
    </row>
    <row r="243" spans="1:12" x14ac:dyDescent="0.35">
      <c r="A243" t="s">
        <v>299</v>
      </c>
      <c r="B243" t="s">
        <v>36</v>
      </c>
      <c r="C243" s="3">
        <v>45912</v>
      </c>
      <c r="D243" t="s">
        <v>50</v>
      </c>
      <c r="E243" t="s">
        <v>57</v>
      </c>
      <c r="F243">
        <v>15918</v>
      </c>
      <c r="G243">
        <v>1114</v>
      </c>
      <c r="H243">
        <v>392</v>
      </c>
      <c r="I243">
        <v>1641</v>
      </c>
      <c r="J243">
        <v>28044</v>
      </c>
      <c r="K243">
        <v>118714</v>
      </c>
      <c r="L243" t="s">
        <v>43</v>
      </c>
    </row>
    <row r="244" spans="1:12" x14ac:dyDescent="0.35">
      <c r="A244" t="s">
        <v>300</v>
      </c>
      <c r="B244" t="s">
        <v>41</v>
      </c>
      <c r="C244" s="3">
        <v>45722</v>
      </c>
      <c r="D244" t="s">
        <v>46</v>
      </c>
      <c r="E244" t="s">
        <v>63</v>
      </c>
      <c r="F244">
        <v>22119</v>
      </c>
      <c r="G244">
        <v>899</v>
      </c>
      <c r="H244">
        <v>642</v>
      </c>
      <c r="I244">
        <v>410</v>
      </c>
      <c r="J244">
        <v>49490</v>
      </c>
      <c r="K244">
        <v>229420</v>
      </c>
      <c r="L244" t="s">
        <v>52</v>
      </c>
    </row>
    <row r="245" spans="1:12" x14ac:dyDescent="0.35">
      <c r="A245" t="s">
        <v>301</v>
      </c>
      <c r="B245" t="s">
        <v>45</v>
      </c>
      <c r="C245" s="3">
        <v>45913</v>
      </c>
      <c r="D245" t="s">
        <v>50</v>
      </c>
      <c r="E245" t="s">
        <v>77</v>
      </c>
      <c r="F245">
        <v>15046</v>
      </c>
      <c r="G245">
        <v>281</v>
      </c>
      <c r="H245">
        <v>515</v>
      </c>
      <c r="I245">
        <v>550</v>
      </c>
      <c r="J245">
        <v>22583</v>
      </c>
      <c r="K245">
        <v>64596</v>
      </c>
      <c r="L245" t="s">
        <v>43</v>
      </c>
    </row>
    <row r="246" spans="1:12" x14ac:dyDescent="0.35">
      <c r="A246" t="s">
        <v>302</v>
      </c>
      <c r="B246" t="s">
        <v>36</v>
      </c>
      <c r="C246" s="3">
        <v>45669</v>
      </c>
      <c r="D246" t="s">
        <v>37</v>
      </c>
      <c r="E246" t="s">
        <v>51</v>
      </c>
      <c r="F246">
        <v>4590</v>
      </c>
      <c r="G246">
        <v>713</v>
      </c>
      <c r="H246">
        <v>479</v>
      </c>
      <c r="I246">
        <v>2730</v>
      </c>
      <c r="J246">
        <v>41050</v>
      </c>
      <c r="K246">
        <v>204246</v>
      </c>
      <c r="L246" t="s">
        <v>48</v>
      </c>
    </row>
    <row r="247" spans="1:12" x14ac:dyDescent="0.35">
      <c r="A247" t="s">
        <v>303</v>
      </c>
      <c r="B247" t="s">
        <v>62</v>
      </c>
      <c r="C247" s="3">
        <v>45576</v>
      </c>
      <c r="D247" t="s">
        <v>56</v>
      </c>
      <c r="E247" t="s">
        <v>63</v>
      </c>
      <c r="F247">
        <v>19447</v>
      </c>
      <c r="G247">
        <v>1014</v>
      </c>
      <c r="H247">
        <v>256</v>
      </c>
      <c r="I247">
        <v>2354</v>
      </c>
      <c r="J247">
        <v>5472</v>
      </c>
      <c r="K247">
        <v>104106</v>
      </c>
      <c r="L247" t="s">
        <v>39</v>
      </c>
    </row>
    <row r="248" spans="1:12" x14ac:dyDescent="0.35">
      <c r="A248" t="s">
        <v>304</v>
      </c>
      <c r="B248" t="s">
        <v>45</v>
      </c>
      <c r="C248" s="3">
        <v>45531</v>
      </c>
      <c r="D248" t="s">
        <v>37</v>
      </c>
      <c r="E248" t="s">
        <v>17</v>
      </c>
      <c r="F248">
        <v>6324</v>
      </c>
      <c r="G248">
        <v>908</v>
      </c>
      <c r="H248">
        <v>375</v>
      </c>
      <c r="I248">
        <v>758</v>
      </c>
      <c r="J248">
        <v>34850</v>
      </c>
      <c r="K248">
        <v>241039</v>
      </c>
      <c r="L248" t="s">
        <v>39</v>
      </c>
    </row>
    <row r="249" spans="1:12" x14ac:dyDescent="0.35">
      <c r="A249" t="s">
        <v>305</v>
      </c>
      <c r="B249" t="s">
        <v>45</v>
      </c>
      <c r="C249" s="3">
        <v>45914</v>
      </c>
      <c r="D249" t="s">
        <v>56</v>
      </c>
      <c r="E249" t="s">
        <v>72</v>
      </c>
      <c r="F249">
        <v>12787</v>
      </c>
      <c r="G249">
        <v>945</v>
      </c>
      <c r="H249">
        <v>974</v>
      </c>
      <c r="I249">
        <v>1407</v>
      </c>
      <c r="J249">
        <v>4037</v>
      </c>
      <c r="K249">
        <v>99182</v>
      </c>
      <c r="L249" t="s">
        <v>43</v>
      </c>
    </row>
    <row r="250" spans="1:12" x14ac:dyDescent="0.35">
      <c r="A250" t="s">
        <v>306</v>
      </c>
      <c r="B250" t="s">
        <v>45</v>
      </c>
      <c r="C250" s="3">
        <v>45491</v>
      </c>
      <c r="D250" t="s">
        <v>50</v>
      </c>
      <c r="E250" t="s">
        <v>17</v>
      </c>
      <c r="F250">
        <v>11111</v>
      </c>
      <c r="G250">
        <v>1222</v>
      </c>
      <c r="H250">
        <v>367</v>
      </c>
      <c r="I250">
        <v>507</v>
      </c>
      <c r="J250">
        <v>14129</v>
      </c>
      <c r="K250">
        <v>127163</v>
      </c>
      <c r="L250" t="s">
        <v>67</v>
      </c>
    </row>
    <row r="251" spans="1:12" x14ac:dyDescent="0.35">
      <c r="A251" t="s">
        <v>307</v>
      </c>
      <c r="B251" t="s">
        <v>36</v>
      </c>
      <c r="C251" s="3">
        <v>45465</v>
      </c>
      <c r="D251" t="s">
        <v>46</v>
      </c>
      <c r="E251" t="s">
        <v>59</v>
      </c>
      <c r="F251">
        <v>7342</v>
      </c>
      <c r="G251">
        <v>906</v>
      </c>
      <c r="H251">
        <v>902</v>
      </c>
      <c r="I251">
        <v>1199</v>
      </c>
      <c r="J251">
        <v>68488</v>
      </c>
      <c r="K251">
        <v>79310</v>
      </c>
      <c r="L251" t="s">
        <v>39</v>
      </c>
    </row>
    <row r="252" spans="1:12" x14ac:dyDescent="0.35">
      <c r="A252" t="s">
        <v>308</v>
      </c>
      <c r="B252" t="s">
        <v>62</v>
      </c>
      <c r="C252" s="3">
        <v>45915</v>
      </c>
      <c r="D252" t="s">
        <v>37</v>
      </c>
      <c r="E252" t="s">
        <v>57</v>
      </c>
      <c r="F252">
        <v>18389</v>
      </c>
      <c r="G252">
        <v>670</v>
      </c>
      <c r="H252">
        <v>655</v>
      </c>
      <c r="I252">
        <v>321</v>
      </c>
      <c r="J252">
        <v>21869</v>
      </c>
      <c r="K252">
        <v>96088</v>
      </c>
      <c r="L252" t="s">
        <v>43</v>
      </c>
    </row>
    <row r="253" spans="1:12" x14ac:dyDescent="0.35">
      <c r="A253" t="s">
        <v>309</v>
      </c>
      <c r="B253" t="s">
        <v>45</v>
      </c>
      <c r="C253" s="3">
        <v>45775</v>
      </c>
      <c r="D253" t="s">
        <v>56</v>
      </c>
      <c r="E253" t="s">
        <v>72</v>
      </c>
      <c r="F253">
        <v>10659</v>
      </c>
      <c r="G253">
        <v>1342</v>
      </c>
      <c r="H253">
        <v>408</v>
      </c>
      <c r="I253">
        <v>709</v>
      </c>
      <c r="J253">
        <v>16309</v>
      </c>
      <c r="K253">
        <v>168803</v>
      </c>
      <c r="L253" t="s">
        <v>48</v>
      </c>
    </row>
    <row r="254" spans="1:12" x14ac:dyDescent="0.35">
      <c r="A254" t="s">
        <v>310</v>
      </c>
      <c r="B254" t="s">
        <v>41</v>
      </c>
      <c r="C254" s="3">
        <v>45916</v>
      </c>
      <c r="D254" t="s">
        <v>37</v>
      </c>
      <c r="E254" t="s">
        <v>17</v>
      </c>
      <c r="F254">
        <v>16043</v>
      </c>
      <c r="G254">
        <v>595</v>
      </c>
      <c r="H254">
        <v>923</v>
      </c>
      <c r="I254">
        <v>1194</v>
      </c>
      <c r="J254">
        <v>52613</v>
      </c>
      <c r="K254">
        <v>179978</v>
      </c>
      <c r="L254" t="s">
        <v>43</v>
      </c>
    </row>
    <row r="255" spans="1:12" x14ac:dyDescent="0.35">
      <c r="A255" t="s">
        <v>311</v>
      </c>
      <c r="B255" t="s">
        <v>45</v>
      </c>
      <c r="C255" s="3">
        <v>45671</v>
      </c>
      <c r="D255" t="s">
        <v>56</v>
      </c>
      <c r="E255" t="s">
        <v>72</v>
      </c>
      <c r="F255">
        <v>24350</v>
      </c>
      <c r="G255">
        <v>460</v>
      </c>
      <c r="H255">
        <v>666</v>
      </c>
      <c r="I255">
        <v>814</v>
      </c>
      <c r="J255">
        <v>21120</v>
      </c>
      <c r="K255">
        <v>76914</v>
      </c>
      <c r="L255" t="s">
        <v>39</v>
      </c>
    </row>
    <row r="256" spans="1:12" x14ac:dyDescent="0.35">
      <c r="A256" t="s">
        <v>312</v>
      </c>
      <c r="B256" t="s">
        <v>45</v>
      </c>
      <c r="C256" s="3">
        <v>45750</v>
      </c>
      <c r="D256" t="s">
        <v>37</v>
      </c>
      <c r="E256" t="s">
        <v>136</v>
      </c>
      <c r="F256">
        <v>10837</v>
      </c>
      <c r="G256">
        <v>1004</v>
      </c>
      <c r="H256">
        <v>922</v>
      </c>
      <c r="I256">
        <v>1108</v>
      </c>
      <c r="J256">
        <v>36807</v>
      </c>
      <c r="K256">
        <v>150350</v>
      </c>
      <c r="L256" t="s">
        <v>48</v>
      </c>
    </row>
    <row r="257" spans="1:12" x14ac:dyDescent="0.35">
      <c r="A257" t="s">
        <v>313</v>
      </c>
      <c r="B257" t="s">
        <v>36</v>
      </c>
      <c r="C257" s="3">
        <v>45917</v>
      </c>
      <c r="D257" t="s">
        <v>56</v>
      </c>
      <c r="E257" t="s">
        <v>57</v>
      </c>
      <c r="F257">
        <v>2117</v>
      </c>
      <c r="G257">
        <v>1133</v>
      </c>
      <c r="H257">
        <v>203</v>
      </c>
      <c r="I257">
        <v>1173</v>
      </c>
      <c r="J257">
        <v>40125</v>
      </c>
      <c r="K257">
        <v>85379</v>
      </c>
      <c r="L257" t="s">
        <v>43</v>
      </c>
    </row>
    <row r="258" spans="1:12" x14ac:dyDescent="0.35">
      <c r="A258" t="s">
        <v>314</v>
      </c>
      <c r="B258" t="s">
        <v>36</v>
      </c>
      <c r="C258" s="3">
        <v>45753</v>
      </c>
      <c r="D258" t="s">
        <v>56</v>
      </c>
      <c r="E258" t="s">
        <v>72</v>
      </c>
      <c r="F258">
        <v>15917</v>
      </c>
      <c r="G258">
        <v>1479</v>
      </c>
      <c r="H258">
        <v>196</v>
      </c>
      <c r="I258">
        <v>313</v>
      </c>
      <c r="J258">
        <v>48524</v>
      </c>
      <c r="K258">
        <v>249684</v>
      </c>
      <c r="L258" t="s">
        <v>52</v>
      </c>
    </row>
    <row r="259" spans="1:12" x14ac:dyDescent="0.35">
      <c r="A259" t="s">
        <v>315</v>
      </c>
      <c r="B259" t="s">
        <v>62</v>
      </c>
      <c r="C259" s="3">
        <v>45509</v>
      </c>
      <c r="D259" t="s">
        <v>50</v>
      </c>
      <c r="E259" t="s">
        <v>38</v>
      </c>
      <c r="F259">
        <v>20935</v>
      </c>
      <c r="G259">
        <v>1104</v>
      </c>
      <c r="H259">
        <v>876</v>
      </c>
      <c r="I259">
        <v>1270</v>
      </c>
      <c r="J259">
        <v>21454</v>
      </c>
      <c r="K259">
        <v>208722</v>
      </c>
      <c r="L259" t="s">
        <v>48</v>
      </c>
    </row>
    <row r="260" spans="1:12" x14ac:dyDescent="0.35">
      <c r="A260" t="s">
        <v>316</v>
      </c>
      <c r="B260" t="s">
        <v>41</v>
      </c>
      <c r="C260" s="3">
        <v>45698</v>
      </c>
      <c r="D260" t="s">
        <v>56</v>
      </c>
      <c r="E260" t="s">
        <v>42</v>
      </c>
      <c r="F260">
        <v>16309</v>
      </c>
      <c r="G260">
        <v>1449</v>
      </c>
      <c r="H260">
        <v>838</v>
      </c>
      <c r="I260">
        <v>2434</v>
      </c>
      <c r="J260">
        <v>2940</v>
      </c>
      <c r="K260">
        <v>217953</v>
      </c>
      <c r="L260" t="s">
        <v>52</v>
      </c>
    </row>
    <row r="261" spans="1:12" x14ac:dyDescent="0.35">
      <c r="A261" t="s">
        <v>317</v>
      </c>
      <c r="B261" t="s">
        <v>36</v>
      </c>
      <c r="C261" s="3">
        <v>45700</v>
      </c>
      <c r="D261" t="s">
        <v>50</v>
      </c>
      <c r="E261" t="s">
        <v>42</v>
      </c>
      <c r="F261">
        <v>15234</v>
      </c>
      <c r="G261">
        <v>1276</v>
      </c>
      <c r="H261">
        <v>670</v>
      </c>
      <c r="I261">
        <v>1860</v>
      </c>
      <c r="J261">
        <v>60397</v>
      </c>
      <c r="K261">
        <v>86413</v>
      </c>
      <c r="L261" t="s">
        <v>67</v>
      </c>
    </row>
    <row r="262" spans="1:12" x14ac:dyDescent="0.35">
      <c r="A262" t="s">
        <v>318</v>
      </c>
      <c r="B262" t="s">
        <v>45</v>
      </c>
      <c r="C262" s="3">
        <v>45592</v>
      </c>
      <c r="D262" t="s">
        <v>56</v>
      </c>
      <c r="E262" t="s">
        <v>38</v>
      </c>
      <c r="F262">
        <v>7560</v>
      </c>
      <c r="G262">
        <v>1139</v>
      </c>
      <c r="H262">
        <v>248</v>
      </c>
      <c r="I262">
        <v>1624</v>
      </c>
      <c r="J262">
        <v>72237</v>
      </c>
      <c r="K262">
        <v>177084</v>
      </c>
      <c r="L262" t="s">
        <v>48</v>
      </c>
    </row>
    <row r="263" spans="1:12" x14ac:dyDescent="0.35">
      <c r="A263" t="s">
        <v>319</v>
      </c>
      <c r="B263" t="s">
        <v>62</v>
      </c>
      <c r="C263" s="3">
        <v>45675</v>
      </c>
      <c r="D263" t="s">
        <v>46</v>
      </c>
      <c r="E263" t="s">
        <v>77</v>
      </c>
      <c r="F263">
        <v>22673</v>
      </c>
      <c r="G263">
        <v>1053</v>
      </c>
      <c r="H263">
        <v>169</v>
      </c>
      <c r="I263">
        <v>1566</v>
      </c>
      <c r="J263">
        <v>9417</v>
      </c>
      <c r="K263">
        <v>221187</v>
      </c>
      <c r="L263" t="s">
        <v>52</v>
      </c>
    </row>
    <row r="264" spans="1:12" x14ac:dyDescent="0.35">
      <c r="A264" t="s">
        <v>320</v>
      </c>
      <c r="B264" t="s">
        <v>45</v>
      </c>
      <c r="C264" s="3">
        <v>45524</v>
      </c>
      <c r="D264" t="s">
        <v>46</v>
      </c>
      <c r="E264" t="s">
        <v>18</v>
      </c>
      <c r="F264">
        <v>2846</v>
      </c>
      <c r="G264">
        <v>792</v>
      </c>
      <c r="H264">
        <v>902</v>
      </c>
      <c r="I264">
        <v>2469</v>
      </c>
      <c r="J264">
        <v>12130</v>
      </c>
      <c r="K264">
        <v>47151</v>
      </c>
      <c r="L264" t="s">
        <v>39</v>
      </c>
    </row>
    <row r="265" spans="1:12" x14ac:dyDescent="0.35">
      <c r="A265" t="s">
        <v>321</v>
      </c>
      <c r="B265" t="s">
        <v>45</v>
      </c>
      <c r="C265" s="3">
        <v>45687</v>
      </c>
      <c r="D265" t="s">
        <v>46</v>
      </c>
      <c r="E265" t="s">
        <v>77</v>
      </c>
      <c r="F265">
        <v>12954</v>
      </c>
      <c r="G265">
        <v>913</v>
      </c>
      <c r="H265">
        <v>722</v>
      </c>
      <c r="I265">
        <v>1049</v>
      </c>
      <c r="J265">
        <v>475</v>
      </c>
      <c r="K265">
        <v>97716</v>
      </c>
      <c r="L265" t="s">
        <v>39</v>
      </c>
    </row>
    <row r="266" spans="1:12" x14ac:dyDescent="0.35">
      <c r="A266" t="s">
        <v>322</v>
      </c>
      <c r="B266" t="s">
        <v>36</v>
      </c>
      <c r="C266" s="3">
        <v>45708</v>
      </c>
      <c r="D266" t="s">
        <v>56</v>
      </c>
      <c r="E266" t="s">
        <v>63</v>
      </c>
      <c r="F266">
        <v>15703</v>
      </c>
      <c r="G266">
        <v>1381</v>
      </c>
      <c r="H266">
        <v>639</v>
      </c>
      <c r="I266">
        <v>984</v>
      </c>
      <c r="J266">
        <v>10967</v>
      </c>
      <c r="K266">
        <v>133747</v>
      </c>
      <c r="L266" t="s">
        <v>67</v>
      </c>
    </row>
    <row r="267" spans="1:12" x14ac:dyDescent="0.35">
      <c r="A267" t="s">
        <v>323</v>
      </c>
      <c r="B267" t="s">
        <v>62</v>
      </c>
      <c r="C267" s="3">
        <v>45621</v>
      </c>
      <c r="D267" t="s">
        <v>50</v>
      </c>
      <c r="E267" t="s">
        <v>63</v>
      </c>
      <c r="F267">
        <v>17385</v>
      </c>
      <c r="G267">
        <v>831</v>
      </c>
      <c r="H267">
        <v>568</v>
      </c>
      <c r="I267">
        <v>2227</v>
      </c>
      <c r="J267">
        <v>49351</v>
      </c>
      <c r="K267">
        <v>207450</v>
      </c>
      <c r="L267" t="s">
        <v>48</v>
      </c>
    </row>
    <row r="268" spans="1:12" x14ac:dyDescent="0.35">
      <c r="A268" t="s">
        <v>324</v>
      </c>
      <c r="B268" t="s">
        <v>41</v>
      </c>
      <c r="C268" s="3">
        <v>45569</v>
      </c>
      <c r="D268" t="s">
        <v>50</v>
      </c>
      <c r="E268" t="s">
        <v>72</v>
      </c>
      <c r="F268">
        <v>15746</v>
      </c>
      <c r="G268">
        <v>258</v>
      </c>
      <c r="H268">
        <v>839</v>
      </c>
      <c r="I268">
        <v>2656</v>
      </c>
      <c r="J268">
        <v>66614</v>
      </c>
      <c r="K268">
        <v>213724</v>
      </c>
      <c r="L268" t="s">
        <v>48</v>
      </c>
    </row>
    <row r="269" spans="1:12" x14ac:dyDescent="0.35">
      <c r="A269" t="s">
        <v>325</v>
      </c>
      <c r="B269" t="s">
        <v>41</v>
      </c>
      <c r="C269" s="3">
        <v>45760</v>
      </c>
      <c r="D269" t="s">
        <v>56</v>
      </c>
      <c r="E269" t="s">
        <v>17</v>
      </c>
      <c r="F269">
        <v>24700</v>
      </c>
      <c r="G269">
        <v>327</v>
      </c>
      <c r="H269">
        <v>999</v>
      </c>
      <c r="I269">
        <v>994</v>
      </c>
      <c r="J269">
        <v>59400</v>
      </c>
      <c r="K269">
        <v>243502</v>
      </c>
      <c r="L269" t="s">
        <v>48</v>
      </c>
    </row>
    <row r="270" spans="1:12" x14ac:dyDescent="0.35">
      <c r="A270" t="s">
        <v>326</v>
      </c>
      <c r="B270" t="s">
        <v>36</v>
      </c>
      <c r="C270" s="3">
        <v>45601</v>
      </c>
      <c r="D270" t="s">
        <v>46</v>
      </c>
      <c r="E270" t="s">
        <v>17</v>
      </c>
      <c r="F270">
        <v>8469</v>
      </c>
      <c r="G270">
        <v>935</v>
      </c>
      <c r="H270">
        <v>211</v>
      </c>
      <c r="I270">
        <v>2635</v>
      </c>
      <c r="J270">
        <v>21890</v>
      </c>
      <c r="K270">
        <v>184539</v>
      </c>
      <c r="L270" t="s">
        <v>67</v>
      </c>
    </row>
    <row r="271" spans="1:12" x14ac:dyDescent="0.35">
      <c r="A271" t="s">
        <v>327</v>
      </c>
      <c r="B271" t="s">
        <v>36</v>
      </c>
      <c r="C271" s="3">
        <v>45672</v>
      </c>
      <c r="D271" t="s">
        <v>46</v>
      </c>
      <c r="E271" t="s">
        <v>42</v>
      </c>
      <c r="F271">
        <v>11333</v>
      </c>
      <c r="G271">
        <v>920</v>
      </c>
      <c r="H271">
        <v>294</v>
      </c>
      <c r="I271">
        <v>606</v>
      </c>
      <c r="J271">
        <v>59490</v>
      </c>
      <c r="K271">
        <v>202082</v>
      </c>
      <c r="L271" t="s">
        <v>48</v>
      </c>
    </row>
    <row r="272" spans="1:12" x14ac:dyDescent="0.35">
      <c r="A272" t="s">
        <v>328</v>
      </c>
      <c r="B272" t="s">
        <v>62</v>
      </c>
      <c r="C272" s="3">
        <v>45582</v>
      </c>
      <c r="D272" t="s">
        <v>50</v>
      </c>
      <c r="E272" t="s">
        <v>47</v>
      </c>
      <c r="F272">
        <v>18608</v>
      </c>
      <c r="G272">
        <v>1338</v>
      </c>
      <c r="H272">
        <v>365</v>
      </c>
      <c r="I272">
        <v>2289</v>
      </c>
      <c r="J272">
        <v>20785</v>
      </c>
      <c r="K272">
        <v>161999</v>
      </c>
      <c r="L272" t="s">
        <v>39</v>
      </c>
    </row>
    <row r="273" spans="1:12" x14ac:dyDescent="0.35">
      <c r="A273" t="s">
        <v>329</v>
      </c>
      <c r="B273" t="s">
        <v>41</v>
      </c>
      <c r="C273" s="3">
        <v>45743</v>
      </c>
      <c r="D273" t="s">
        <v>46</v>
      </c>
      <c r="E273" t="s">
        <v>77</v>
      </c>
      <c r="F273">
        <v>14819</v>
      </c>
      <c r="G273">
        <v>1432</v>
      </c>
      <c r="H273">
        <v>152</v>
      </c>
      <c r="I273">
        <v>961</v>
      </c>
      <c r="J273">
        <v>39154</v>
      </c>
      <c r="K273">
        <v>154793</v>
      </c>
      <c r="L273" t="s">
        <v>52</v>
      </c>
    </row>
    <row r="274" spans="1:12" x14ac:dyDescent="0.35">
      <c r="A274" t="s">
        <v>330</v>
      </c>
      <c r="B274" t="s">
        <v>41</v>
      </c>
      <c r="C274" s="3">
        <v>45577</v>
      </c>
      <c r="D274" t="s">
        <v>37</v>
      </c>
      <c r="E274" t="s">
        <v>136</v>
      </c>
      <c r="F274">
        <v>6208</v>
      </c>
      <c r="G274">
        <v>725</v>
      </c>
      <c r="H274">
        <v>309</v>
      </c>
      <c r="I274">
        <v>848</v>
      </c>
      <c r="J274">
        <v>39319</v>
      </c>
      <c r="K274">
        <v>225763</v>
      </c>
      <c r="L274" t="s">
        <v>39</v>
      </c>
    </row>
    <row r="275" spans="1:12" x14ac:dyDescent="0.35">
      <c r="A275" t="s">
        <v>331</v>
      </c>
      <c r="B275" t="s">
        <v>41</v>
      </c>
      <c r="C275" s="3">
        <v>45658</v>
      </c>
      <c r="D275" t="s">
        <v>50</v>
      </c>
      <c r="E275" t="s">
        <v>57</v>
      </c>
      <c r="F275">
        <v>8283</v>
      </c>
      <c r="G275">
        <v>720</v>
      </c>
      <c r="H275">
        <v>888</v>
      </c>
      <c r="I275">
        <v>611</v>
      </c>
      <c r="J275">
        <v>52791</v>
      </c>
      <c r="K275">
        <v>235229</v>
      </c>
      <c r="L275" t="s">
        <v>39</v>
      </c>
    </row>
    <row r="276" spans="1:12" x14ac:dyDescent="0.35">
      <c r="A276" t="s">
        <v>332</v>
      </c>
      <c r="B276" t="s">
        <v>45</v>
      </c>
      <c r="C276" s="3">
        <v>45509</v>
      </c>
      <c r="D276" t="s">
        <v>46</v>
      </c>
      <c r="E276" t="s">
        <v>59</v>
      </c>
      <c r="F276">
        <v>4048</v>
      </c>
      <c r="G276">
        <v>751</v>
      </c>
      <c r="H276">
        <v>930</v>
      </c>
      <c r="I276">
        <v>1382</v>
      </c>
      <c r="J276">
        <v>16844</v>
      </c>
      <c r="K276">
        <v>148177</v>
      </c>
      <c r="L276" t="s">
        <v>52</v>
      </c>
    </row>
    <row r="277" spans="1:12" x14ac:dyDescent="0.35">
      <c r="A277" t="s">
        <v>333</v>
      </c>
      <c r="B277" t="s">
        <v>41</v>
      </c>
      <c r="C277" s="3">
        <v>45450</v>
      </c>
      <c r="D277" t="s">
        <v>50</v>
      </c>
      <c r="E277" t="s">
        <v>51</v>
      </c>
      <c r="F277">
        <v>8233</v>
      </c>
      <c r="G277">
        <v>436</v>
      </c>
      <c r="H277">
        <v>269</v>
      </c>
      <c r="I277">
        <v>2037</v>
      </c>
      <c r="J277">
        <v>8875</v>
      </c>
      <c r="K277">
        <v>52289</v>
      </c>
      <c r="L277" t="s">
        <v>39</v>
      </c>
    </row>
    <row r="278" spans="1:12" x14ac:dyDescent="0.35">
      <c r="A278" t="s">
        <v>334</v>
      </c>
      <c r="B278" t="s">
        <v>45</v>
      </c>
      <c r="C278" s="3">
        <v>45753</v>
      </c>
      <c r="D278" t="s">
        <v>37</v>
      </c>
      <c r="E278" t="s">
        <v>17</v>
      </c>
      <c r="F278">
        <v>14941</v>
      </c>
      <c r="G278">
        <v>1424</v>
      </c>
      <c r="H278">
        <v>238</v>
      </c>
      <c r="I278">
        <v>1054</v>
      </c>
      <c r="J278">
        <v>20516</v>
      </c>
      <c r="K278">
        <v>216048</v>
      </c>
      <c r="L278" t="s">
        <v>67</v>
      </c>
    </row>
    <row r="279" spans="1:12" x14ac:dyDescent="0.35">
      <c r="A279" t="s">
        <v>335</v>
      </c>
      <c r="B279" t="s">
        <v>62</v>
      </c>
      <c r="C279" s="3">
        <v>45622</v>
      </c>
      <c r="D279" t="s">
        <v>50</v>
      </c>
      <c r="E279" t="s">
        <v>57</v>
      </c>
      <c r="F279">
        <v>14607</v>
      </c>
      <c r="G279">
        <v>1458</v>
      </c>
      <c r="H279">
        <v>478</v>
      </c>
      <c r="I279">
        <v>334</v>
      </c>
      <c r="J279">
        <v>49257</v>
      </c>
      <c r="K279">
        <v>214668</v>
      </c>
      <c r="L279" t="s">
        <v>52</v>
      </c>
    </row>
    <row r="280" spans="1:12" x14ac:dyDescent="0.35">
      <c r="A280" t="s">
        <v>336</v>
      </c>
      <c r="B280" t="s">
        <v>45</v>
      </c>
      <c r="C280" s="3">
        <v>45537</v>
      </c>
      <c r="D280" t="s">
        <v>50</v>
      </c>
      <c r="E280" t="s">
        <v>51</v>
      </c>
      <c r="F280">
        <v>11765</v>
      </c>
      <c r="G280">
        <v>693</v>
      </c>
      <c r="H280">
        <v>729</v>
      </c>
      <c r="I280">
        <v>744</v>
      </c>
      <c r="J280">
        <v>97772</v>
      </c>
      <c r="K280">
        <v>194243</v>
      </c>
      <c r="L280" t="s">
        <v>39</v>
      </c>
    </row>
    <row r="281" spans="1:12" x14ac:dyDescent="0.35">
      <c r="A281" t="s">
        <v>337</v>
      </c>
      <c r="B281" t="s">
        <v>62</v>
      </c>
      <c r="C281" s="3">
        <v>45918</v>
      </c>
      <c r="D281" t="s">
        <v>50</v>
      </c>
      <c r="E281" t="s">
        <v>57</v>
      </c>
      <c r="F281">
        <v>3828</v>
      </c>
      <c r="G281">
        <v>203</v>
      </c>
      <c r="H281">
        <v>506</v>
      </c>
      <c r="I281">
        <v>2440</v>
      </c>
      <c r="J281">
        <v>63650</v>
      </c>
      <c r="K281">
        <v>126365</v>
      </c>
      <c r="L281" t="s">
        <v>43</v>
      </c>
    </row>
    <row r="282" spans="1:12" x14ac:dyDescent="0.35">
      <c r="A282" t="s">
        <v>338</v>
      </c>
      <c r="B282" t="s">
        <v>41</v>
      </c>
      <c r="C282" s="3">
        <v>45738</v>
      </c>
      <c r="D282" t="s">
        <v>50</v>
      </c>
      <c r="E282" t="s">
        <v>72</v>
      </c>
      <c r="F282">
        <v>3917</v>
      </c>
      <c r="G282">
        <v>865</v>
      </c>
      <c r="H282">
        <v>759</v>
      </c>
      <c r="I282">
        <v>2282</v>
      </c>
      <c r="J282">
        <v>56125</v>
      </c>
      <c r="K282">
        <v>154014</v>
      </c>
      <c r="L282" t="s">
        <v>39</v>
      </c>
    </row>
    <row r="283" spans="1:12" x14ac:dyDescent="0.35">
      <c r="A283" t="s">
        <v>339</v>
      </c>
      <c r="B283" t="s">
        <v>41</v>
      </c>
      <c r="C283" s="3">
        <v>45568</v>
      </c>
      <c r="D283" t="s">
        <v>37</v>
      </c>
      <c r="E283" t="s">
        <v>51</v>
      </c>
      <c r="F283">
        <v>22618</v>
      </c>
      <c r="G283">
        <v>641</v>
      </c>
      <c r="H283">
        <v>416</v>
      </c>
      <c r="I283">
        <v>1530</v>
      </c>
      <c r="J283">
        <v>18395</v>
      </c>
      <c r="K283">
        <v>215211</v>
      </c>
      <c r="L283" t="s">
        <v>67</v>
      </c>
    </row>
    <row r="284" spans="1:12" x14ac:dyDescent="0.35">
      <c r="A284" t="s">
        <v>340</v>
      </c>
      <c r="B284" t="s">
        <v>62</v>
      </c>
      <c r="C284" s="3">
        <v>45786</v>
      </c>
      <c r="D284" t="s">
        <v>56</v>
      </c>
      <c r="E284" t="s">
        <v>59</v>
      </c>
      <c r="F284">
        <v>8988</v>
      </c>
      <c r="G284">
        <v>228</v>
      </c>
      <c r="H284">
        <v>766</v>
      </c>
      <c r="I284">
        <v>652</v>
      </c>
      <c r="J284">
        <v>63789</v>
      </c>
      <c r="K284">
        <v>219785</v>
      </c>
      <c r="L284" t="s">
        <v>48</v>
      </c>
    </row>
    <row r="285" spans="1:12" x14ac:dyDescent="0.35">
      <c r="A285" t="s">
        <v>341</v>
      </c>
      <c r="B285" t="s">
        <v>36</v>
      </c>
      <c r="C285" s="3">
        <v>45552</v>
      </c>
      <c r="D285" t="s">
        <v>50</v>
      </c>
      <c r="E285" t="s">
        <v>57</v>
      </c>
      <c r="F285">
        <v>20410</v>
      </c>
      <c r="G285">
        <v>1332</v>
      </c>
      <c r="H285">
        <v>472</v>
      </c>
      <c r="I285">
        <v>1202</v>
      </c>
      <c r="J285">
        <v>9418</v>
      </c>
      <c r="K285">
        <v>200806</v>
      </c>
      <c r="L285" t="s">
        <v>39</v>
      </c>
    </row>
    <row r="286" spans="1:12" x14ac:dyDescent="0.35">
      <c r="A286" t="s">
        <v>342</v>
      </c>
      <c r="B286" t="s">
        <v>62</v>
      </c>
      <c r="C286" s="3">
        <v>45491</v>
      </c>
      <c r="D286" t="s">
        <v>50</v>
      </c>
      <c r="E286" t="s">
        <v>38</v>
      </c>
      <c r="F286">
        <v>16594</v>
      </c>
      <c r="G286">
        <v>809</v>
      </c>
      <c r="H286">
        <v>784</v>
      </c>
      <c r="I286">
        <v>1655</v>
      </c>
      <c r="J286">
        <v>35505</v>
      </c>
      <c r="K286">
        <v>112588</v>
      </c>
      <c r="L286" t="s">
        <v>48</v>
      </c>
    </row>
    <row r="287" spans="1:12" x14ac:dyDescent="0.35">
      <c r="A287" t="s">
        <v>343</v>
      </c>
      <c r="B287" t="s">
        <v>36</v>
      </c>
      <c r="C287" s="3">
        <v>45919</v>
      </c>
      <c r="D287" t="s">
        <v>46</v>
      </c>
      <c r="E287" t="s">
        <v>59</v>
      </c>
      <c r="F287">
        <v>22128</v>
      </c>
      <c r="G287">
        <v>1004</v>
      </c>
      <c r="H287">
        <v>690</v>
      </c>
      <c r="I287">
        <v>2048</v>
      </c>
      <c r="J287">
        <v>19443</v>
      </c>
      <c r="K287">
        <v>103646</v>
      </c>
      <c r="L287" t="s">
        <v>43</v>
      </c>
    </row>
    <row r="288" spans="1:12" x14ac:dyDescent="0.35">
      <c r="A288" t="s">
        <v>344</v>
      </c>
      <c r="B288" t="s">
        <v>45</v>
      </c>
      <c r="C288" s="3">
        <v>45519</v>
      </c>
      <c r="D288" t="s">
        <v>50</v>
      </c>
      <c r="E288" t="s">
        <v>51</v>
      </c>
      <c r="F288">
        <v>14977</v>
      </c>
      <c r="G288">
        <v>274</v>
      </c>
      <c r="H288">
        <v>798</v>
      </c>
      <c r="I288">
        <v>458</v>
      </c>
      <c r="J288">
        <v>6636</v>
      </c>
      <c r="K288">
        <v>43654</v>
      </c>
      <c r="L288" t="s">
        <v>39</v>
      </c>
    </row>
    <row r="289" spans="1:12" x14ac:dyDescent="0.35">
      <c r="A289" t="s">
        <v>345</v>
      </c>
      <c r="B289" t="s">
        <v>45</v>
      </c>
      <c r="C289" s="3">
        <v>45764</v>
      </c>
      <c r="D289" t="s">
        <v>46</v>
      </c>
      <c r="E289" t="s">
        <v>59</v>
      </c>
      <c r="F289">
        <v>2009</v>
      </c>
      <c r="G289">
        <v>1037</v>
      </c>
      <c r="H289">
        <v>344</v>
      </c>
      <c r="I289">
        <v>2277</v>
      </c>
      <c r="J289">
        <v>85743</v>
      </c>
      <c r="K289">
        <v>58743</v>
      </c>
      <c r="L289" t="s">
        <v>52</v>
      </c>
    </row>
    <row r="290" spans="1:12" x14ac:dyDescent="0.35">
      <c r="A290" t="s">
        <v>346</v>
      </c>
      <c r="B290" t="s">
        <v>45</v>
      </c>
      <c r="C290" s="3">
        <v>45624</v>
      </c>
      <c r="D290" t="s">
        <v>56</v>
      </c>
      <c r="E290" t="s">
        <v>57</v>
      </c>
      <c r="F290">
        <v>18644</v>
      </c>
      <c r="G290">
        <v>1369</v>
      </c>
      <c r="H290">
        <v>887</v>
      </c>
      <c r="I290">
        <v>1256</v>
      </c>
      <c r="J290">
        <v>43415</v>
      </c>
      <c r="K290">
        <v>88368</v>
      </c>
      <c r="L290" t="s">
        <v>48</v>
      </c>
    </row>
    <row r="291" spans="1:12" x14ac:dyDescent="0.35">
      <c r="A291" t="s">
        <v>347</v>
      </c>
      <c r="B291" t="s">
        <v>41</v>
      </c>
      <c r="C291" s="3">
        <v>45920</v>
      </c>
      <c r="D291" t="s">
        <v>37</v>
      </c>
      <c r="E291" t="s">
        <v>18</v>
      </c>
      <c r="F291">
        <v>24422</v>
      </c>
      <c r="G291">
        <v>327</v>
      </c>
      <c r="H291">
        <v>481</v>
      </c>
      <c r="I291">
        <v>2371</v>
      </c>
      <c r="J291">
        <v>35340</v>
      </c>
      <c r="K291">
        <v>245244</v>
      </c>
      <c r="L291" t="s">
        <v>43</v>
      </c>
    </row>
    <row r="292" spans="1:12" x14ac:dyDescent="0.35">
      <c r="A292" t="s">
        <v>348</v>
      </c>
      <c r="B292" t="s">
        <v>45</v>
      </c>
      <c r="C292" s="3">
        <v>45602</v>
      </c>
      <c r="D292" t="s">
        <v>37</v>
      </c>
      <c r="E292" t="s">
        <v>57</v>
      </c>
      <c r="F292">
        <v>11865</v>
      </c>
      <c r="G292">
        <v>241</v>
      </c>
      <c r="H292">
        <v>319</v>
      </c>
      <c r="I292">
        <v>703</v>
      </c>
      <c r="J292">
        <v>69596</v>
      </c>
      <c r="K292">
        <v>177513</v>
      </c>
      <c r="L292" t="s">
        <v>52</v>
      </c>
    </row>
    <row r="293" spans="1:12" x14ac:dyDescent="0.35">
      <c r="A293" t="s">
        <v>349</v>
      </c>
      <c r="B293" t="s">
        <v>36</v>
      </c>
      <c r="C293" s="3">
        <v>45613</v>
      </c>
      <c r="D293" t="s">
        <v>56</v>
      </c>
      <c r="E293" t="s">
        <v>57</v>
      </c>
      <c r="F293">
        <v>4219</v>
      </c>
      <c r="G293">
        <v>240</v>
      </c>
      <c r="H293">
        <v>670</v>
      </c>
      <c r="I293">
        <v>815</v>
      </c>
      <c r="J293">
        <v>11978</v>
      </c>
      <c r="K293">
        <v>159735</v>
      </c>
      <c r="L293" t="s">
        <v>52</v>
      </c>
    </row>
    <row r="294" spans="1:12" x14ac:dyDescent="0.35">
      <c r="A294" t="s">
        <v>350</v>
      </c>
      <c r="B294" t="s">
        <v>45</v>
      </c>
      <c r="C294" s="3">
        <v>45791</v>
      </c>
      <c r="D294" t="s">
        <v>37</v>
      </c>
      <c r="E294" t="s">
        <v>72</v>
      </c>
      <c r="F294">
        <v>9041</v>
      </c>
      <c r="G294">
        <v>1133</v>
      </c>
      <c r="H294">
        <v>612</v>
      </c>
      <c r="I294">
        <v>1687</v>
      </c>
      <c r="J294">
        <v>28102</v>
      </c>
      <c r="K294">
        <v>195683</v>
      </c>
      <c r="L294" t="s">
        <v>52</v>
      </c>
    </row>
    <row r="295" spans="1:12" x14ac:dyDescent="0.35">
      <c r="A295" t="s">
        <v>351</v>
      </c>
      <c r="B295" t="s">
        <v>62</v>
      </c>
      <c r="C295" s="3">
        <v>45462</v>
      </c>
      <c r="D295" t="s">
        <v>56</v>
      </c>
      <c r="E295" t="s">
        <v>77</v>
      </c>
      <c r="F295">
        <v>20444</v>
      </c>
      <c r="G295">
        <v>233</v>
      </c>
      <c r="H295">
        <v>189</v>
      </c>
      <c r="I295">
        <v>2879</v>
      </c>
      <c r="J295">
        <v>28185</v>
      </c>
      <c r="K295">
        <v>159891</v>
      </c>
      <c r="L295" t="s">
        <v>52</v>
      </c>
    </row>
    <row r="296" spans="1:12" x14ac:dyDescent="0.35">
      <c r="A296" t="s">
        <v>352</v>
      </c>
      <c r="B296" t="s">
        <v>62</v>
      </c>
      <c r="C296" s="3">
        <v>45783</v>
      </c>
      <c r="D296" t="s">
        <v>56</v>
      </c>
      <c r="E296" t="s">
        <v>38</v>
      </c>
      <c r="F296">
        <v>7287</v>
      </c>
      <c r="G296">
        <v>1240</v>
      </c>
      <c r="H296">
        <v>686</v>
      </c>
      <c r="I296">
        <v>1255</v>
      </c>
      <c r="J296">
        <v>15403</v>
      </c>
      <c r="K296">
        <v>147971</v>
      </c>
      <c r="L296" t="s">
        <v>39</v>
      </c>
    </row>
    <row r="297" spans="1:12" x14ac:dyDescent="0.35">
      <c r="A297" t="s">
        <v>353</v>
      </c>
      <c r="B297" t="s">
        <v>41</v>
      </c>
      <c r="C297" s="3">
        <v>45699</v>
      </c>
      <c r="D297" t="s">
        <v>56</v>
      </c>
      <c r="E297" t="s">
        <v>136</v>
      </c>
      <c r="F297">
        <v>3619</v>
      </c>
      <c r="G297">
        <v>1376</v>
      </c>
      <c r="H297">
        <v>410</v>
      </c>
      <c r="I297">
        <v>2499</v>
      </c>
      <c r="J297">
        <v>58146</v>
      </c>
      <c r="K297">
        <v>52149</v>
      </c>
      <c r="L297" t="s">
        <v>39</v>
      </c>
    </row>
    <row r="298" spans="1:12" x14ac:dyDescent="0.35">
      <c r="A298" t="s">
        <v>354</v>
      </c>
      <c r="B298" t="s">
        <v>62</v>
      </c>
      <c r="C298" s="3">
        <v>45650</v>
      </c>
      <c r="D298" t="s">
        <v>37</v>
      </c>
      <c r="E298" t="s">
        <v>17</v>
      </c>
      <c r="F298">
        <v>10512</v>
      </c>
      <c r="G298">
        <v>1197</v>
      </c>
      <c r="H298">
        <v>544</v>
      </c>
      <c r="I298">
        <v>2012</v>
      </c>
      <c r="J298">
        <v>10245</v>
      </c>
      <c r="K298">
        <v>140102</v>
      </c>
      <c r="L298" t="s">
        <v>39</v>
      </c>
    </row>
    <row r="299" spans="1:12" x14ac:dyDescent="0.35">
      <c r="A299" t="s">
        <v>355</v>
      </c>
      <c r="B299" t="s">
        <v>36</v>
      </c>
      <c r="C299" s="3">
        <v>45924</v>
      </c>
      <c r="D299" t="s">
        <v>46</v>
      </c>
      <c r="E299" t="s">
        <v>63</v>
      </c>
      <c r="F299">
        <v>3342</v>
      </c>
      <c r="G299">
        <v>787</v>
      </c>
      <c r="H299">
        <v>375</v>
      </c>
      <c r="I299">
        <v>907</v>
      </c>
      <c r="J299">
        <v>85823</v>
      </c>
      <c r="K299">
        <v>99189</v>
      </c>
      <c r="L299" t="s">
        <v>43</v>
      </c>
    </row>
    <row r="300" spans="1:12" x14ac:dyDescent="0.35">
      <c r="A300" t="s">
        <v>356</v>
      </c>
      <c r="B300" t="s">
        <v>45</v>
      </c>
      <c r="C300" s="3">
        <v>45925</v>
      </c>
      <c r="D300" t="s">
        <v>56</v>
      </c>
      <c r="E300" t="s">
        <v>77</v>
      </c>
      <c r="F300">
        <v>12568</v>
      </c>
      <c r="G300">
        <v>541</v>
      </c>
      <c r="H300">
        <v>273</v>
      </c>
      <c r="I300">
        <v>2767</v>
      </c>
      <c r="J300">
        <v>22331</v>
      </c>
      <c r="K300">
        <v>192747</v>
      </c>
      <c r="L300" t="s">
        <v>43</v>
      </c>
    </row>
    <row r="301" spans="1:12" x14ac:dyDescent="0.35">
      <c r="A301" t="s">
        <v>357</v>
      </c>
      <c r="B301" t="s">
        <v>41</v>
      </c>
      <c r="C301" s="3">
        <v>45926</v>
      </c>
      <c r="D301" t="s">
        <v>50</v>
      </c>
      <c r="E301" t="s">
        <v>63</v>
      </c>
      <c r="F301">
        <v>21216</v>
      </c>
      <c r="G301">
        <v>226</v>
      </c>
      <c r="H301">
        <v>187</v>
      </c>
      <c r="I301">
        <v>1573</v>
      </c>
      <c r="J301">
        <v>62688</v>
      </c>
      <c r="K301">
        <v>111031</v>
      </c>
      <c r="L301" t="s">
        <v>43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F4E87E-FB71-4D34-94E0-ACF5A96033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task 2.1</vt:lpstr>
      <vt:lpstr>task 2.2</vt:lpstr>
      <vt:lpstr>task 2.3.1</vt:lpstr>
      <vt:lpstr>task.2.3.2 </vt:lpstr>
      <vt:lpstr>task2.4</vt:lpstr>
      <vt:lpstr>Posts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Premvasanth kadle</dc:creator>
  <cp:lastModifiedBy>Premvasanth kadle</cp:lastModifiedBy>
  <dcterms:created xsi:type="dcterms:W3CDTF">2025-12-15T14:32:14Z</dcterms:created>
  <dcterms:modified xsi:type="dcterms:W3CDTF">2025-12-18T16:00:57Z</dcterms:modified>
</cp:coreProperties>
</file>