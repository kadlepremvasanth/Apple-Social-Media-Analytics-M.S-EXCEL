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6ef4a7508cfaa0/Desktop/Apple Social Media Analytics/"/>
    </mc:Choice>
  </mc:AlternateContent>
  <xr:revisionPtr revIDLastSave="237" documentId="8_{988D6C18-EE53-4529-AF08-BF43998B4AA1}" xr6:coauthVersionLast="47" xr6:coauthVersionMax="47" xr10:uidLastSave="{019E2875-105E-449B-BE68-07D8990B1620}"/>
  <bookViews>
    <workbookView xWindow="-110" yWindow="-110" windowWidth="19420" windowHeight="11500" xr2:uid="{C7A9A25D-9732-49C0-BC04-0BC75DCF4BCA}"/>
  </bookViews>
  <sheets>
    <sheet name="task 6.4" sheetId="8" r:id="rId1"/>
    <sheet name="task 6.3" sheetId="7" r:id="rId2"/>
    <sheet name="task 6.2" sheetId="4" r:id="rId3"/>
    <sheet name="task 6.1" sheetId="3" r:id="rId4"/>
    <sheet name="Engagement Summary" sheetId="2" r:id="rId5"/>
  </sheets>
  <definedNames>
    <definedName name="ExternalData_1" localSheetId="4" hidden="1">'Engagement Summary'!$A$1:$H$201</definedName>
  </definedNames>
  <calcPr calcId="191029"/>
  <pivotCaches>
    <pivotCache cacheId="8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8" l="1"/>
  <c r="H4" i="8"/>
  <c r="H5" i="8"/>
  <c r="H2" i="8"/>
  <c r="G3" i="8"/>
  <c r="G4" i="8"/>
  <c r="G5" i="8"/>
  <c r="G2" i="8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7AB06E-2F1C-4506-9250-19E3BAEE3BEF}" keepAlive="1" name="Query - Engagement Summary" description="Connection to the 'Engagement Summary' query in the workbook." type="5" refreshedVersion="8" background="1" saveData="1">
    <dbPr connection="Provider=Microsoft.Mashup.OleDb.1;Data Source=$Workbook$;Location=&quot;Engagement Summary&quot;;Extended Properties=&quot;&quot;" command="SELECT * FROM [Engagement Summary]"/>
  </connection>
</connections>
</file>

<file path=xl/sharedStrings.xml><?xml version="1.0" encoding="utf-8"?>
<sst xmlns="http://schemas.openxmlformats.org/spreadsheetml/2006/main" count="451" uniqueCount="23">
  <si>
    <t>Week_Start_Date</t>
  </si>
  <si>
    <t>Platform</t>
  </si>
  <si>
    <t>New_Followers</t>
  </si>
  <si>
    <t>Unfollows</t>
  </si>
  <si>
    <t>Total_Followers</t>
  </si>
  <si>
    <t>Engagement_Rate</t>
  </si>
  <si>
    <t>Ad_Spend</t>
  </si>
  <si>
    <t>Instagram</t>
  </si>
  <si>
    <t>Twitter</t>
  </si>
  <si>
    <t>YouTube</t>
  </si>
  <si>
    <t>LinkedIn</t>
  </si>
  <si>
    <t xml:space="preserve">     net followers gain</t>
  </si>
  <si>
    <t>Row Labels</t>
  </si>
  <si>
    <t>Grand Total</t>
  </si>
  <si>
    <t>Column Labels</t>
  </si>
  <si>
    <t>Sum of      net followers gain</t>
  </si>
  <si>
    <t>peak week of follower gain.</t>
  </si>
  <si>
    <t>total net followers</t>
  </si>
  <si>
    <t>total ad spend</t>
  </si>
  <si>
    <t>weekly follower growth per platform</t>
  </si>
  <si>
    <t>the peak week of follower gain.</t>
  </si>
  <si>
    <t>averages to smooth growth trends.</t>
  </si>
  <si>
    <t>Correlate ad spend vs. follower growth using scatter plots.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</si>
</sst>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19" formatCode="dd/mm/yyyy"/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ad</a:t>
            </a:r>
            <a:r>
              <a:rPr lang="en-IN" b="1" baseline="0"/>
              <a:t> spend vs followers growth</a:t>
            </a:r>
            <a:endParaRPr lang="en-IN" b="1"/>
          </a:p>
        </c:rich>
      </c:tx>
      <c:layout>
        <c:manualLayout>
          <c:xMode val="edge"/>
          <c:yMode val="edge"/>
          <c:x val="0.2604096675415573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'task 6.4'!$G$1</c:f>
              <c:strCache>
                <c:ptCount val="1"/>
                <c:pt idx="0">
                  <c:v>total net followers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'task 6.4'!$F$2:$F$5</c:f>
              <c:strCache>
                <c:ptCount val="4"/>
                <c:pt idx="0">
                  <c:v>Instagram</c:v>
                </c:pt>
                <c:pt idx="1">
                  <c:v>Twitter</c:v>
                </c:pt>
                <c:pt idx="2">
                  <c:v>YouTube</c:v>
                </c:pt>
                <c:pt idx="3">
                  <c:v>LinkedIn</c:v>
                </c:pt>
              </c:strCache>
            </c:strRef>
          </c:xVal>
          <c:yVal>
            <c:numRef>
              <c:f>'task 6.4'!$G$2:$G$5</c:f>
              <c:numCache>
                <c:formatCode>General</c:formatCode>
                <c:ptCount val="4"/>
                <c:pt idx="0">
                  <c:v>261862</c:v>
                </c:pt>
                <c:pt idx="1">
                  <c:v>303407</c:v>
                </c:pt>
                <c:pt idx="2">
                  <c:v>230642</c:v>
                </c:pt>
                <c:pt idx="3">
                  <c:v>290487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63-4D42-94E9-727DF458BA56}"/>
            </c:ext>
          </c:extLst>
        </c:ser>
        <c:ser>
          <c:idx val="1"/>
          <c:order val="1"/>
          <c:tx>
            <c:strRef>
              <c:f>'task 6.4'!$H$1</c:f>
              <c:strCache>
                <c:ptCount val="1"/>
                <c:pt idx="0">
                  <c:v>total ad spend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'task 6.4'!$F$2:$F$5</c:f>
              <c:strCache>
                <c:ptCount val="4"/>
                <c:pt idx="0">
                  <c:v>Instagram</c:v>
                </c:pt>
                <c:pt idx="1">
                  <c:v>Twitter</c:v>
                </c:pt>
                <c:pt idx="2">
                  <c:v>YouTube</c:v>
                </c:pt>
                <c:pt idx="3">
                  <c:v>LinkedIn</c:v>
                </c:pt>
              </c:strCache>
            </c:strRef>
          </c:xVal>
          <c:yVal>
            <c:numRef>
              <c:f>'task 6.4'!$H$2:$H$5</c:f>
              <c:numCache>
                <c:formatCode>General</c:formatCode>
                <c:ptCount val="4"/>
                <c:pt idx="0">
                  <c:v>1775883</c:v>
                </c:pt>
                <c:pt idx="1">
                  <c:v>1874083</c:v>
                </c:pt>
                <c:pt idx="2">
                  <c:v>1286371</c:v>
                </c:pt>
                <c:pt idx="3">
                  <c:v>1990523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63-4D42-94E9-727DF458BA5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63244463"/>
        <c:axId val="563249263"/>
      </c:scatterChart>
      <c:valAx>
        <c:axId val="563244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249263"/>
        <c:crosses val="autoZero"/>
        <c:crossBetween val="midCat"/>
      </c:valAx>
      <c:valAx>
        <c:axId val="563249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2444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[6 Follower Retention ^0 Loyalty task.xlsx]task 6.3!PivotTable3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weekly follower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31750" cap="rnd">
            <a:noFill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'task 6.3'!$B$3:$B$4</c:f>
              <c:strCache>
                <c:ptCount val="1"/>
                <c:pt idx="0">
                  <c:v>YouTube</c:v>
                </c:pt>
              </c:strCache>
            </c:strRef>
          </c:tx>
          <c:spPr>
            <a:ln w="317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trendline>
            <c:spPr>
              <a:ln w="31750" cap="sq">
                <a:solidFill>
                  <a:schemeClr val="accent1"/>
                </a:solidFill>
                <a:prstDash val="solid"/>
                <a:miter lim="800000"/>
              </a:ln>
              <a:effectLst/>
            </c:spPr>
            <c:trendlineType val="movingAvg"/>
            <c:period val="2"/>
            <c:dispRSqr val="0"/>
            <c:dispEq val="0"/>
          </c:trendline>
          <c:cat>
            <c:strRef>
              <c:f>'task 6.3'!$A$5:$A$55</c:f>
              <c:strCache>
                <c:ptCount val="50"/>
                <c:pt idx="0">
                  <c:v>03-06-2024</c:v>
                </c:pt>
                <c:pt idx="1">
                  <c:v>24-02-2025</c:v>
                </c:pt>
                <c:pt idx="2">
                  <c:v>03-02-2025</c:v>
                </c:pt>
                <c:pt idx="3">
                  <c:v>28-10-2024</c:v>
                </c:pt>
                <c:pt idx="4">
                  <c:v>09-09-2024</c:v>
                </c:pt>
                <c:pt idx="5">
                  <c:v>07-10-2024</c:v>
                </c:pt>
                <c:pt idx="6">
                  <c:v>19-08-2024</c:v>
                </c:pt>
                <c:pt idx="7">
                  <c:v>16-09-2024</c:v>
                </c:pt>
                <c:pt idx="8">
                  <c:v>22-07-2024</c:v>
                </c:pt>
                <c:pt idx="9">
                  <c:v>24-06-2024</c:v>
                </c:pt>
                <c:pt idx="10">
                  <c:v>06-01-2025</c:v>
                </c:pt>
                <c:pt idx="11">
                  <c:v>20-01-2025</c:v>
                </c:pt>
                <c:pt idx="12">
                  <c:v>10-06-2024</c:v>
                </c:pt>
                <c:pt idx="13">
                  <c:v>23-12-2024</c:v>
                </c:pt>
                <c:pt idx="14">
                  <c:v>14-10-2024</c:v>
                </c:pt>
                <c:pt idx="15">
                  <c:v>12-08-2024</c:v>
                </c:pt>
                <c:pt idx="16">
                  <c:v>21-10-2024</c:v>
                </c:pt>
                <c:pt idx="17">
                  <c:v>03-03-2025</c:v>
                </c:pt>
                <c:pt idx="18">
                  <c:v>07-04-2025</c:v>
                </c:pt>
                <c:pt idx="19">
                  <c:v>26-08-2024</c:v>
                </c:pt>
                <c:pt idx="20">
                  <c:v>11-11-2024</c:v>
                </c:pt>
                <c:pt idx="21">
                  <c:v>05-05-2025</c:v>
                </c:pt>
                <c:pt idx="22">
                  <c:v>25-11-2024</c:v>
                </c:pt>
                <c:pt idx="23">
                  <c:v>09-12-2024</c:v>
                </c:pt>
                <c:pt idx="24">
                  <c:v>24-03-2025</c:v>
                </c:pt>
                <c:pt idx="25">
                  <c:v>02-12-2024</c:v>
                </c:pt>
                <c:pt idx="26">
                  <c:v>10-03-2025</c:v>
                </c:pt>
                <c:pt idx="27">
                  <c:v>29-07-2024</c:v>
                </c:pt>
                <c:pt idx="28">
                  <c:v>04-11-2024</c:v>
                </c:pt>
                <c:pt idx="29">
                  <c:v>05-08-2024</c:v>
                </c:pt>
                <c:pt idx="30">
                  <c:v>15-07-2024</c:v>
                </c:pt>
                <c:pt idx="31">
                  <c:v>31-03-2025</c:v>
                </c:pt>
                <c:pt idx="32">
                  <c:v>13-01-2025</c:v>
                </c:pt>
                <c:pt idx="33">
                  <c:v>14-04-2025</c:v>
                </c:pt>
                <c:pt idx="34">
                  <c:v>23-09-2024</c:v>
                </c:pt>
                <c:pt idx="35">
                  <c:v>17-02-2025</c:v>
                </c:pt>
                <c:pt idx="36">
                  <c:v>30-09-2024</c:v>
                </c:pt>
                <c:pt idx="37">
                  <c:v>17-06-2024</c:v>
                </c:pt>
                <c:pt idx="38">
                  <c:v>27-01-2025</c:v>
                </c:pt>
                <c:pt idx="39">
                  <c:v>17-03-2025</c:v>
                </c:pt>
                <c:pt idx="40">
                  <c:v>01-07-2024</c:v>
                </c:pt>
                <c:pt idx="41">
                  <c:v>10-02-2025</c:v>
                </c:pt>
                <c:pt idx="42">
                  <c:v>08-07-2024</c:v>
                </c:pt>
                <c:pt idx="43">
                  <c:v>16-12-2024</c:v>
                </c:pt>
                <c:pt idx="44">
                  <c:v>21-04-2025</c:v>
                </c:pt>
                <c:pt idx="45">
                  <c:v>28-04-2025</c:v>
                </c:pt>
                <c:pt idx="46">
                  <c:v>02-09-2024</c:v>
                </c:pt>
                <c:pt idx="47">
                  <c:v>30-12-2024</c:v>
                </c:pt>
                <c:pt idx="48">
                  <c:v>12-05-2025</c:v>
                </c:pt>
                <c:pt idx="49">
                  <c:v>18-11-2024</c:v>
                </c:pt>
              </c:strCache>
            </c:strRef>
          </c:cat>
          <c:val>
            <c:numRef>
              <c:f>'task 6.3'!$B$5:$B$55</c:f>
              <c:numCache>
                <c:formatCode>General</c:formatCode>
                <c:ptCount val="50"/>
                <c:pt idx="0">
                  <c:v>15994</c:v>
                </c:pt>
                <c:pt idx="1">
                  <c:v>15359</c:v>
                </c:pt>
                <c:pt idx="2">
                  <c:v>12447</c:v>
                </c:pt>
                <c:pt idx="3">
                  <c:v>12442</c:v>
                </c:pt>
                <c:pt idx="4">
                  <c:v>11613</c:v>
                </c:pt>
                <c:pt idx="5">
                  <c:v>10348</c:v>
                </c:pt>
                <c:pt idx="6">
                  <c:v>9427</c:v>
                </c:pt>
                <c:pt idx="7">
                  <c:v>9308</c:v>
                </c:pt>
                <c:pt idx="8">
                  <c:v>9082</c:v>
                </c:pt>
                <c:pt idx="9">
                  <c:v>8653</c:v>
                </c:pt>
                <c:pt idx="10">
                  <c:v>8601</c:v>
                </c:pt>
                <c:pt idx="11">
                  <c:v>7654</c:v>
                </c:pt>
                <c:pt idx="12">
                  <c:v>7478</c:v>
                </c:pt>
                <c:pt idx="13">
                  <c:v>7328</c:v>
                </c:pt>
                <c:pt idx="14">
                  <c:v>7115</c:v>
                </c:pt>
                <c:pt idx="15">
                  <c:v>7033</c:v>
                </c:pt>
                <c:pt idx="16">
                  <c:v>6918</c:v>
                </c:pt>
                <c:pt idx="17">
                  <c:v>6631</c:v>
                </c:pt>
                <c:pt idx="18">
                  <c:v>6434</c:v>
                </c:pt>
                <c:pt idx="19">
                  <c:v>5303</c:v>
                </c:pt>
                <c:pt idx="20">
                  <c:v>5220</c:v>
                </c:pt>
                <c:pt idx="21">
                  <c:v>5210</c:v>
                </c:pt>
                <c:pt idx="22">
                  <c:v>5143</c:v>
                </c:pt>
                <c:pt idx="23">
                  <c:v>4790</c:v>
                </c:pt>
                <c:pt idx="24">
                  <c:v>4189</c:v>
                </c:pt>
                <c:pt idx="25">
                  <c:v>3929</c:v>
                </c:pt>
                <c:pt idx="26">
                  <c:v>3555</c:v>
                </c:pt>
                <c:pt idx="27">
                  <c:v>3445</c:v>
                </c:pt>
                <c:pt idx="28">
                  <c:v>3056</c:v>
                </c:pt>
                <c:pt idx="29">
                  <c:v>2543</c:v>
                </c:pt>
                <c:pt idx="30">
                  <c:v>1826</c:v>
                </c:pt>
                <c:pt idx="31">
                  <c:v>1567</c:v>
                </c:pt>
                <c:pt idx="32">
                  <c:v>1001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73-481B-8494-FBEC68D69A5C}"/>
            </c:ext>
          </c:extLst>
        </c:ser>
        <c:ser>
          <c:idx val="1"/>
          <c:order val="1"/>
          <c:tx>
            <c:strRef>
              <c:f>'task 6.3'!$C$3:$C$4</c:f>
              <c:strCache>
                <c:ptCount val="1"/>
                <c:pt idx="0">
                  <c:v>Twitter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31750" cap="sq">
                <a:solidFill>
                  <a:schemeClr val="accent2"/>
                </a:solidFill>
                <a:prstDash val="solid"/>
                <a:miter lim="800000"/>
              </a:ln>
              <a:effectLst/>
            </c:spPr>
            <c:trendlineType val="movingAvg"/>
            <c:period val="2"/>
            <c:dispRSqr val="0"/>
            <c:dispEq val="0"/>
          </c:trendline>
          <c:cat>
            <c:strRef>
              <c:f>'task 6.3'!$A$5:$A$55</c:f>
              <c:strCache>
                <c:ptCount val="50"/>
                <c:pt idx="0">
                  <c:v>03-06-2024</c:v>
                </c:pt>
                <c:pt idx="1">
                  <c:v>24-02-2025</c:v>
                </c:pt>
                <c:pt idx="2">
                  <c:v>03-02-2025</c:v>
                </c:pt>
                <c:pt idx="3">
                  <c:v>28-10-2024</c:v>
                </c:pt>
                <c:pt idx="4">
                  <c:v>09-09-2024</c:v>
                </c:pt>
                <c:pt idx="5">
                  <c:v>07-10-2024</c:v>
                </c:pt>
                <c:pt idx="6">
                  <c:v>19-08-2024</c:v>
                </c:pt>
                <c:pt idx="7">
                  <c:v>16-09-2024</c:v>
                </c:pt>
                <c:pt idx="8">
                  <c:v>22-07-2024</c:v>
                </c:pt>
                <c:pt idx="9">
                  <c:v>24-06-2024</c:v>
                </c:pt>
                <c:pt idx="10">
                  <c:v>06-01-2025</c:v>
                </c:pt>
                <c:pt idx="11">
                  <c:v>20-01-2025</c:v>
                </c:pt>
                <c:pt idx="12">
                  <c:v>10-06-2024</c:v>
                </c:pt>
                <c:pt idx="13">
                  <c:v>23-12-2024</c:v>
                </c:pt>
                <c:pt idx="14">
                  <c:v>14-10-2024</c:v>
                </c:pt>
                <c:pt idx="15">
                  <c:v>12-08-2024</c:v>
                </c:pt>
                <c:pt idx="16">
                  <c:v>21-10-2024</c:v>
                </c:pt>
                <c:pt idx="17">
                  <c:v>03-03-2025</c:v>
                </c:pt>
                <c:pt idx="18">
                  <c:v>07-04-2025</c:v>
                </c:pt>
                <c:pt idx="19">
                  <c:v>26-08-2024</c:v>
                </c:pt>
                <c:pt idx="20">
                  <c:v>11-11-2024</c:v>
                </c:pt>
                <c:pt idx="21">
                  <c:v>05-05-2025</c:v>
                </c:pt>
                <c:pt idx="22">
                  <c:v>25-11-2024</c:v>
                </c:pt>
                <c:pt idx="23">
                  <c:v>09-12-2024</c:v>
                </c:pt>
                <c:pt idx="24">
                  <c:v>24-03-2025</c:v>
                </c:pt>
                <c:pt idx="25">
                  <c:v>02-12-2024</c:v>
                </c:pt>
                <c:pt idx="26">
                  <c:v>10-03-2025</c:v>
                </c:pt>
                <c:pt idx="27">
                  <c:v>29-07-2024</c:v>
                </c:pt>
                <c:pt idx="28">
                  <c:v>04-11-2024</c:v>
                </c:pt>
                <c:pt idx="29">
                  <c:v>05-08-2024</c:v>
                </c:pt>
                <c:pt idx="30">
                  <c:v>15-07-2024</c:v>
                </c:pt>
                <c:pt idx="31">
                  <c:v>31-03-2025</c:v>
                </c:pt>
                <c:pt idx="32">
                  <c:v>13-01-2025</c:v>
                </c:pt>
                <c:pt idx="33">
                  <c:v>14-04-2025</c:v>
                </c:pt>
                <c:pt idx="34">
                  <c:v>23-09-2024</c:v>
                </c:pt>
                <c:pt idx="35">
                  <c:v>17-02-2025</c:v>
                </c:pt>
                <c:pt idx="36">
                  <c:v>30-09-2024</c:v>
                </c:pt>
                <c:pt idx="37">
                  <c:v>17-06-2024</c:v>
                </c:pt>
                <c:pt idx="38">
                  <c:v>27-01-2025</c:v>
                </c:pt>
                <c:pt idx="39">
                  <c:v>17-03-2025</c:v>
                </c:pt>
                <c:pt idx="40">
                  <c:v>01-07-2024</c:v>
                </c:pt>
                <c:pt idx="41">
                  <c:v>10-02-2025</c:v>
                </c:pt>
                <c:pt idx="42">
                  <c:v>08-07-2024</c:v>
                </c:pt>
                <c:pt idx="43">
                  <c:v>16-12-2024</c:v>
                </c:pt>
                <c:pt idx="44">
                  <c:v>21-04-2025</c:v>
                </c:pt>
                <c:pt idx="45">
                  <c:v>28-04-2025</c:v>
                </c:pt>
                <c:pt idx="46">
                  <c:v>02-09-2024</c:v>
                </c:pt>
                <c:pt idx="47">
                  <c:v>30-12-2024</c:v>
                </c:pt>
                <c:pt idx="48">
                  <c:v>12-05-2025</c:v>
                </c:pt>
                <c:pt idx="49">
                  <c:v>18-11-2024</c:v>
                </c:pt>
              </c:strCache>
            </c:strRef>
          </c:cat>
          <c:val>
            <c:numRef>
              <c:f>'task 6.3'!$C$5:$C$55</c:f>
              <c:numCache>
                <c:formatCode>General</c:formatCode>
                <c:ptCount val="50"/>
                <c:pt idx="0">
                  <c:v>7432</c:v>
                </c:pt>
                <c:pt idx="2">
                  <c:v>16086</c:v>
                </c:pt>
                <c:pt idx="7">
                  <c:v>3925</c:v>
                </c:pt>
                <c:pt idx="8">
                  <c:v>7733</c:v>
                </c:pt>
                <c:pt idx="9">
                  <c:v>15084</c:v>
                </c:pt>
                <c:pt idx="10">
                  <c:v>9202</c:v>
                </c:pt>
                <c:pt idx="11">
                  <c:v>20155</c:v>
                </c:pt>
                <c:pt idx="12">
                  <c:v>8369</c:v>
                </c:pt>
                <c:pt idx="14">
                  <c:v>16256</c:v>
                </c:pt>
                <c:pt idx="15">
                  <c:v>12800</c:v>
                </c:pt>
                <c:pt idx="17">
                  <c:v>6326</c:v>
                </c:pt>
                <c:pt idx="18">
                  <c:v>8319</c:v>
                </c:pt>
                <c:pt idx="19">
                  <c:v>5753</c:v>
                </c:pt>
                <c:pt idx="20">
                  <c:v>9649</c:v>
                </c:pt>
                <c:pt idx="23">
                  <c:v>6642</c:v>
                </c:pt>
                <c:pt idx="26">
                  <c:v>8723</c:v>
                </c:pt>
                <c:pt idx="27">
                  <c:v>6039</c:v>
                </c:pt>
                <c:pt idx="28">
                  <c:v>8687</c:v>
                </c:pt>
                <c:pt idx="29">
                  <c:v>3497</c:v>
                </c:pt>
                <c:pt idx="30">
                  <c:v>7092</c:v>
                </c:pt>
                <c:pt idx="31">
                  <c:v>6272</c:v>
                </c:pt>
                <c:pt idx="32">
                  <c:v>7346</c:v>
                </c:pt>
                <c:pt idx="34">
                  <c:v>4942</c:v>
                </c:pt>
                <c:pt idx="35">
                  <c:v>1290</c:v>
                </c:pt>
                <c:pt idx="36">
                  <c:v>8530</c:v>
                </c:pt>
                <c:pt idx="37">
                  <c:v>6073</c:v>
                </c:pt>
                <c:pt idx="38">
                  <c:v>11789</c:v>
                </c:pt>
                <c:pt idx="40">
                  <c:v>8463</c:v>
                </c:pt>
                <c:pt idx="41">
                  <c:v>1020</c:v>
                </c:pt>
                <c:pt idx="42">
                  <c:v>7151</c:v>
                </c:pt>
                <c:pt idx="43">
                  <c:v>6275</c:v>
                </c:pt>
                <c:pt idx="44">
                  <c:v>7058</c:v>
                </c:pt>
                <c:pt idx="45">
                  <c:v>15937</c:v>
                </c:pt>
                <c:pt idx="46">
                  <c:v>6593</c:v>
                </c:pt>
                <c:pt idx="47">
                  <c:v>3079</c:v>
                </c:pt>
                <c:pt idx="48">
                  <c:v>7436</c:v>
                </c:pt>
                <c:pt idx="49">
                  <c:v>6384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73-481B-8494-FBEC68D69A5C}"/>
            </c:ext>
          </c:extLst>
        </c:ser>
        <c:ser>
          <c:idx val="2"/>
          <c:order val="2"/>
          <c:tx>
            <c:strRef>
              <c:f>'task 6.3'!$D$3:$D$4</c:f>
              <c:strCache>
                <c:ptCount val="1"/>
                <c:pt idx="0">
                  <c:v>LinkedIn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31750" cap="sq">
                <a:solidFill>
                  <a:schemeClr val="accent3"/>
                </a:solidFill>
                <a:prstDash val="solid"/>
                <a:miter lim="800000"/>
              </a:ln>
              <a:effectLst/>
            </c:spPr>
            <c:trendlineType val="movingAvg"/>
            <c:period val="2"/>
            <c:dispRSqr val="0"/>
            <c:dispEq val="0"/>
          </c:trendline>
          <c:cat>
            <c:strRef>
              <c:f>'task 6.3'!$A$5:$A$55</c:f>
              <c:strCache>
                <c:ptCount val="50"/>
                <c:pt idx="0">
                  <c:v>03-06-2024</c:v>
                </c:pt>
                <c:pt idx="1">
                  <c:v>24-02-2025</c:v>
                </c:pt>
                <c:pt idx="2">
                  <c:v>03-02-2025</c:v>
                </c:pt>
                <c:pt idx="3">
                  <c:v>28-10-2024</c:v>
                </c:pt>
                <c:pt idx="4">
                  <c:v>09-09-2024</c:v>
                </c:pt>
                <c:pt idx="5">
                  <c:v>07-10-2024</c:v>
                </c:pt>
                <c:pt idx="6">
                  <c:v>19-08-2024</c:v>
                </c:pt>
                <c:pt idx="7">
                  <c:v>16-09-2024</c:v>
                </c:pt>
                <c:pt idx="8">
                  <c:v>22-07-2024</c:v>
                </c:pt>
                <c:pt idx="9">
                  <c:v>24-06-2024</c:v>
                </c:pt>
                <c:pt idx="10">
                  <c:v>06-01-2025</c:v>
                </c:pt>
                <c:pt idx="11">
                  <c:v>20-01-2025</c:v>
                </c:pt>
                <c:pt idx="12">
                  <c:v>10-06-2024</c:v>
                </c:pt>
                <c:pt idx="13">
                  <c:v>23-12-2024</c:v>
                </c:pt>
                <c:pt idx="14">
                  <c:v>14-10-2024</c:v>
                </c:pt>
                <c:pt idx="15">
                  <c:v>12-08-2024</c:v>
                </c:pt>
                <c:pt idx="16">
                  <c:v>21-10-2024</c:v>
                </c:pt>
                <c:pt idx="17">
                  <c:v>03-03-2025</c:v>
                </c:pt>
                <c:pt idx="18">
                  <c:v>07-04-2025</c:v>
                </c:pt>
                <c:pt idx="19">
                  <c:v>26-08-2024</c:v>
                </c:pt>
                <c:pt idx="20">
                  <c:v>11-11-2024</c:v>
                </c:pt>
                <c:pt idx="21">
                  <c:v>05-05-2025</c:v>
                </c:pt>
                <c:pt idx="22">
                  <c:v>25-11-2024</c:v>
                </c:pt>
                <c:pt idx="23">
                  <c:v>09-12-2024</c:v>
                </c:pt>
                <c:pt idx="24">
                  <c:v>24-03-2025</c:v>
                </c:pt>
                <c:pt idx="25">
                  <c:v>02-12-2024</c:v>
                </c:pt>
                <c:pt idx="26">
                  <c:v>10-03-2025</c:v>
                </c:pt>
                <c:pt idx="27">
                  <c:v>29-07-2024</c:v>
                </c:pt>
                <c:pt idx="28">
                  <c:v>04-11-2024</c:v>
                </c:pt>
                <c:pt idx="29">
                  <c:v>05-08-2024</c:v>
                </c:pt>
                <c:pt idx="30">
                  <c:v>15-07-2024</c:v>
                </c:pt>
                <c:pt idx="31">
                  <c:v>31-03-2025</c:v>
                </c:pt>
                <c:pt idx="32">
                  <c:v>13-01-2025</c:v>
                </c:pt>
                <c:pt idx="33">
                  <c:v>14-04-2025</c:v>
                </c:pt>
                <c:pt idx="34">
                  <c:v>23-09-2024</c:v>
                </c:pt>
                <c:pt idx="35">
                  <c:v>17-02-2025</c:v>
                </c:pt>
                <c:pt idx="36">
                  <c:v>30-09-2024</c:v>
                </c:pt>
                <c:pt idx="37">
                  <c:v>17-06-2024</c:v>
                </c:pt>
                <c:pt idx="38">
                  <c:v>27-01-2025</c:v>
                </c:pt>
                <c:pt idx="39">
                  <c:v>17-03-2025</c:v>
                </c:pt>
                <c:pt idx="40">
                  <c:v>01-07-2024</c:v>
                </c:pt>
                <c:pt idx="41">
                  <c:v>10-02-2025</c:v>
                </c:pt>
                <c:pt idx="42">
                  <c:v>08-07-2024</c:v>
                </c:pt>
                <c:pt idx="43">
                  <c:v>16-12-2024</c:v>
                </c:pt>
                <c:pt idx="44">
                  <c:v>21-04-2025</c:v>
                </c:pt>
                <c:pt idx="45">
                  <c:v>28-04-2025</c:v>
                </c:pt>
                <c:pt idx="46">
                  <c:v>02-09-2024</c:v>
                </c:pt>
                <c:pt idx="47">
                  <c:v>30-12-2024</c:v>
                </c:pt>
                <c:pt idx="48">
                  <c:v>12-05-2025</c:v>
                </c:pt>
                <c:pt idx="49">
                  <c:v>18-11-2024</c:v>
                </c:pt>
              </c:strCache>
            </c:strRef>
          </c:cat>
          <c:val>
            <c:numRef>
              <c:f>'task 6.3'!$D$5:$D$55</c:f>
              <c:numCache>
                <c:formatCode>General</c:formatCode>
                <c:ptCount val="50"/>
                <c:pt idx="3">
                  <c:v>14812</c:v>
                </c:pt>
                <c:pt idx="4">
                  <c:v>6121</c:v>
                </c:pt>
                <c:pt idx="5">
                  <c:v>2421</c:v>
                </c:pt>
                <c:pt idx="7">
                  <c:v>2199</c:v>
                </c:pt>
                <c:pt idx="8">
                  <c:v>15403</c:v>
                </c:pt>
                <c:pt idx="10">
                  <c:v>9254</c:v>
                </c:pt>
                <c:pt idx="13">
                  <c:v>7541</c:v>
                </c:pt>
                <c:pt idx="17">
                  <c:v>7432</c:v>
                </c:pt>
                <c:pt idx="18">
                  <c:v>4542</c:v>
                </c:pt>
                <c:pt idx="19">
                  <c:v>1513</c:v>
                </c:pt>
                <c:pt idx="20">
                  <c:v>4882</c:v>
                </c:pt>
                <c:pt idx="21">
                  <c:v>2960</c:v>
                </c:pt>
                <c:pt idx="22">
                  <c:v>8945</c:v>
                </c:pt>
                <c:pt idx="23">
                  <c:v>949</c:v>
                </c:pt>
                <c:pt idx="24">
                  <c:v>21227</c:v>
                </c:pt>
                <c:pt idx="25">
                  <c:v>5402</c:v>
                </c:pt>
                <c:pt idx="26">
                  <c:v>2535</c:v>
                </c:pt>
                <c:pt idx="27">
                  <c:v>7537</c:v>
                </c:pt>
                <c:pt idx="28">
                  <c:v>4942</c:v>
                </c:pt>
                <c:pt idx="29">
                  <c:v>4847</c:v>
                </c:pt>
                <c:pt idx="31">
                  <c:v>1660</c:v>
                </c:pt>
                <c:pt idx="32">
                  <c:v>7471</c:v>
                </c:pt>
                <c:pt idx="33">
                  <c:v>24995</c:v>
                </c:pt>
                <c:pt idx="35">
                  <c:v>5101</c:v>
                </c:pt>
                <c:pt idx="37">
                  <c:v>6728</c:v>
                </c:pt>
                <c:pt idx="38">
                  <c:v>7260</c:v>
                </c:pt>
                <c:pt idx="39">
                  <c:v>19728</c:v>
                </c:pt>
                <c:pt idx="40">
                  <c:v>5442</c:v>
                </c:pt>
                <c:pt idx="41">
                  <c:v>12622</c:v>
                </c:pt>
                <c:pt idx="42">
                  <c:v>11378</c:v>
                </c:pt>
                <c:pt idx="43">
                  <c:v>8527</c:v>
                </c:pt>
                <c:pt idx="45">
                  <c:v>1512</c:v>
                </c:pt>
                <c:pt idx="46">
                  <c:v>8228</c:v>
                </c:pt>
                <c:pt idx="47">
                  <c:v>16577</c:v>
                </c:pt>
                <c:pt idx="48">
                  <c:v>8146</c:v>
                </c:pt>
                <c:pt idx="49">
                  <c:v>9648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73-481B-8494-FBEC68D69A5C}"/>
            </c:ext>
          </c:extLst>
        </c:ser>
        <c:ser>
          <c:idx val="3"/>
          <c:order val="3"/>
          <c:tx>
            <c:strRef>
              <c:f>'task 6.3'!$E$3:$E$4</c:f>
              <c:strCache>
                <c:ptCount val="1"/>
                <c:pt idx="0">
                  <c:v>Instagram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31750" cap="rnd">
                <a:solidFill>
                  <a:schemeClr val="accent4"/>
                </a:solidFill>
                <a:prstDash val="solid"/>
              </a:ln>
              <a:effectLst/>
            </c:spPr>
            <c:trendlineType val="movingAvg"/>
            <c:period val="2"/>
            <c:dispRSqr val="0"/>
            <c:dispEq val="0"/>
          </c:trendline>
          <c:cat>
            <c:strRef>
              <c:f>'task 6.3'!$A$5:$A$55</c:f>
              <c:strCache>
                <c:ptCount val="50"/>
                <c:pt idx="0">
                  <c:v>03-06-2024</c:v>
                </c:pt>
                <c:pt idx="1">
                  <c:v>24-02-2025</c:v>
                </c:pt>
                <c:pt idx="2">
                  <c:v>03-02-2025</c:v>
                </c:pt>
                <c:pt idx="3">
                  <c:v>28-10-2024</c:v>
                </c:pt>
                <c:pt idx="4">
                  <c:v>09-09-2024</c:v>
                </c:pt>
                <c:pt idx="5">
                  <c:v>07-10-2024</c:v>
                </c:pt>
                <c:pt idx="6">
                  <c:v>19-08-2024</c:v>
                </c:pt>
                <c:pt idx="7">
                  <c:v>16-09-2024</c:v>
                </c:pt>
                <c:pt idx="8">
                  <c:v>22-07-2024</c:v>
                </c:pt>
                <c:pt idx="9">
                  <c:v>24-06-2024</c:v>
                </c:pt>
                <c:pt idx="10">
                  <c:v>06-01-2025</c:v>
                </c:pt>
                <c:pt idx="11">
                  <c:v>20-01-2025</c:v>
                </c:pt>
                <c:pt idx="12">
                  <c:v>10-06-2024</c:v>
                </c:pt>
                <c:pt idx="13">
                  <c:v>23-12-2024</c:v>
                </c:pt>
                <c:pt idx="14">
                  <c:v>14-10-2024</c:v>
                </c:pt>
                <c:pt idx="15">
                  <c:v>12-08-2024</c:v>
                </c:pt>
                <c:pt idx="16">
                  <c:v>21-10-2024</c:v>
                </c:pt>
                <c:pt idx="17">
                  <c:v>03-03-2025</c:v>
                </c:pt>
                <c:pt idx="18">
                  <c:v>07-04-2025</c:v>
                </c:pt>
                <c:pt idx="19">
                  <c:v>26-08-2024</c:v>
                </c:pt>
                <c:pt idx="20">
                  <c:v>11-11-2024</c:v>
                </c:pt>
                <c:pt idx="21">
                  <c:v>05-05-2025</c:v>
                </c:pt>
                <c:pt idx="22">
                  <c:v>25-11-2024</c:v>
                </c:pt>
                <c:pt idx="23">
                  <c:v>09-12-2024</c:v>
                </c:pt>
                <c:pt idx="24">
                  <c:v>24-03-2025</c:v>
                </c:pt>
                <c:pt idx="25">
                  <c:v>02-12-2024</c:v>
                </c:pt>
                <c:pt idx="26">
                  <c:v>10-03-2025</c:v>
                </c:pt>
                <c:pt idx="27">
                  <c:v>29-07-2024</c:v>
                </c:pt>
                <c:pt idx="28">
                  <c:v>04-11-2024</c:v>
                </c:pt>
                <c:pt idx="29">
                  <c:v>05-08-2024</c:v>
                </c:pt>
                <c:pt idx="30">
                  <c:v>15-07-2024</c:v>
                </c:pt>
                <c:pt idx="31">
                  <c:v>31-03-2025</c:v>
                </c:pt>
                <c:pt idx="32">
                  <c:v>13-01-2025</c:v>
                </c:pt>
                <c:pt idx="33">
                  <c:v>14-04-2025</c:v>
                </c:pt>
                <c:pt idx="34">
                  <c:v>23-09-2024</c:v>
                </c:pt>
                <c:pt idx="35">
                  <c:v>17-02-2025</c:v>
                </c:pt>
                <c:pt idx="36">
                  <c:v>30-09-2024</c:v>
                </c:pt>
                <c:pt idx="37">
                  <c:v>17-06-2024</c:v>
                </c:pt>
                <c:pt idx="38">
                  <c:v>27-01-2025</c:v>
                </c:pt>
                <c:pt idx="39">
                  <c:v>17-03-2025</c:v>
                </c:pt>
                <c:pt idx="40">
                  <c:v>01-07-2024</c:v>
                </c:pt>
                <c:pt idx="41">
                  <c:v>10-02-2025</c:v>
                </c:pt>
                <c:pt idx="42">
                  <c:v>08-07-2024</c:v>
                </c:pt>
                <c:pt idx="43">
                  <c:v>16-12-2024</c:v>
                </c:pt>
                <c:pt idx="44">
                  <c:v>21-04-2025</c:v>
                </c:pt>
                <c:pt idx="45">
                  <c:v>28-04-2025</c:v>
                </c:pt>
                <c:pt idx="46">
                  <c:v>02-09-2024</c:v>
                </c:pt>
                <c:pt idx="47">
                  <c:v>30-12-2024</c:v>
                </c:pt>
                <c:pt idx="48">
                  <c:v>12-05-2025</c:v>
                </c:pt>
                <c:pt idx="49">
                  <c:v>18-11-2024</c:v>
                </c:pt>
              </c:strCache>
            </c:strRef>
          </c:cat>
          <c:val>
            <c:numRef>
              <c:f>'task 6.3'!$E$5:$E$55</c:f>
              <c:numCache>
                <c:formatCode>General</c:formatCode>
                <c:ptCount val="50"/>
                <c:pt idx="0">
                  <c:v>3777</c:v>
                </c:pt>
                <c:pt idx="1">
                  <c:v>15087</c:v>
                </c:pt>
                <c:pt idx="4">
                  <c:v>7442</c:v>
                </c:pt>
                <c:pt idx="5">
                  <c:v>4808</c:v>
                </c:pt>
                <c:pt idx="6">
                  <c:v>13835</c:v>
                </c:pt>
                <c:pt idx="9">
                  <c:v>4885</c:v>
                </c:pt>
                <c:pt idx="12">
                  <c:v>7215</c:v>
                </c:pt>
                <c:pt idx="13">
                  <c:v>4314</c:v>
                </c:pt>
                <c:pt idx="15">
                  <c:v>6853</c:v>
                </c:pt>
                <c:pt idx="16">
                  <c:v>23973</c:v>
                </c:pt>
                <c:pt idx="18">
                  <c:v>1425</c:v>
                </c:pt>
                <c:pt idx="19">
                  <c:v>8231</c:v>
                </c:pt>
                <c:pt idx="21">
                  <c:v>7959</c:v>
                </c:pt>
                <c:pt idx="22">
                  <c:v>14537</c:v>
                </c:pt>
                <c:pt idx="23">
                  <c:v>3461</c:v>
                </c:pt>
                <c:pt idx="25">
                  <c:v>8999</c:v>
                </c:pt>
                <c:pt idx="26">
                  <c:v>2994</c:v>
                </c:pt>
                <c:pt idx="29">
                  <c:v>3213</c:v>
                </c:pt>
                <c:pt idx="30">
                  <c:v>4967</c:v>
                </c:pt>
                <c:pt idx="31">
                  <c:v>6128</c:v>
                </c:pt>
                <c:pt idx="32">
                  <c:v>2919</c:v>
                </c:pt>
                <c:pt idx="34">
                  <c:v>13040</c:v>
                </c:pt>
                <c:pt idx="35">
                  <c:v>11468</c:v>
                </c:pt>
                <c:pt idx="36">
                  <c:v>9904</c:v>
                </c:pt>
                <c:pt idx="37">
                  <c:v>13130</c:v>
                </c:pt>
                <c:pt idx="38">
                  <c:v>3643</c:v>
                </c:pt>
                <c:pt idx="39">
                  <c:v>8292</c:v>
                </c:pt>
                <c:pt idx="40">
                  <c:v>5928</c:v>
                </c:pt>
                <c:pt idx="43">
                  <c:v>4802</c:v>
                </c:pt>
                <c:pt idx="44">
                  <c:v>15012</c:v>
                </c:pt>
                <c:pt idx="46">
                  <c:v>7396</c:v>
                </c:pt>
                <c:pt idx="47">
                  <c:v>4214</c:v>
                </c:pt>
                <c:pt idx="48">
                  <c:v>2805</c:v>
                </c:pt>
                <c:pt idx="49">
                  <c:v>5206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73-481B-8494-FBEC68D69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4843535"/>
        <c:axId val="674862735"/>
      </c:lineChart>
      <c:catAx>
        <c:axId val="6748435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week start 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862735"/>
        <c:crosses val="autoZero"/>
        <c:auto val="1"/>
        <c:lblAlgn val="ctr"/>
        <c:lblOffset val="100"/>
        <c:noMultiLvlLbl val="0"/>
      </c:catAx>
      <c:valAx>
        <c:axId val="674862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 Net follwers 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843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[6 Follower Retention ^0 Loyalty task.xlsx]task 6.2!PivotTable3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weekly follower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'task 6.2'!$B$3:$B$4</c:f>
              <c:strCache>
                <c:ptCount val="1"/>
                <c:pt idx="0">
                  <c:v>YouTube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'task 6.2'!$A$5:$A$55</c:f>
              <c:strCache>
                <c:ptCount val="50"/>
                <c:pt idx="0">
                  <c:v>03-06-2024</c:v>
                </c:pt>
                <c:pt idx="1">
                  <c:v>24-02-2025</c:v>
                </c:pt>
                <c:pt idx="2">
                  <c:v>03-02-2025</c:v>
                </c:pt>
                <c:pt idx="3">
                  <c:v>28-10-2024</c:v>
                </c:pt>
                <c:pt idx="4">
                  <c:v>09-09-2024</c:v>
                </c:pt>
                <c:pt idx="5">
                  <c:v>07-10-2024</c:v>
                </c:pt>
                <c:pt idx="6">
                  <c:v>19-08-2024</c:v>
                </c:pt>
                <c:pt idx="7">
                  <c:v>16-09-2024</c:v>
                </c:pt>
                <c:pt idx="8">
                  <c:v>22-07-2024</c:v>
                </c:pt>
                <c:pt idx="9">
                  <c:v>24-06-2024</c:v>
                </c:pt>
                <c:pt idx="10">
                  <c:v>06-01-2025</c:v>
                </c:pt>
                <c:pt idx="11">
                  <c:v>20-01-2025</c:v>
                </c:pt>
                <c:pt idx="12">
                  <c:v>10-06-2024</c:v>
                </c:pt>
                <c:pt idx="13">
                  <c:v>23-12-2024</c:v>
                </c:pt>
                <c:pt idx="14">
                  <c:v>14-10-2024</c:v>
                </c:pt>
                <c:pt idx="15">
                  <c:v>12-08-2024</c:v>
                </c:pt>
                <c:pt idx="16">
                  <c:v>21-10-2024</c:v>
                </c:pt>
                <c:pt idx="17">
                  <c:v>03-03-2025</c:v>
                </c:pt>
                <c:pt idx="18">
                  <c:v>07-04-2025</c:v>
                </c:pt>
                <c:pt idx="19">
                  <c:v>26-08-2024</c:v>
                </c:pt>
                <c:pt idx="20">
                  <c:v>11-11-2024</c:v>
                </c:pt>
                <c:pt idx="21">
                  <c:v>05-05-2025</c:v>
                </c:pt>
                <c:pt idx="22">
                  <c:v>25-11-2024</c:v>
                </c:pt>
                <c:pt idx="23">
                  <c:v>09-12-2024</c:v>
                </c:pt>
                <c:pt idx="24">
                  <c:v>24-03-2025</c:v>
                </c:pt>
                <c:pt idx="25">
                  <c:v>02-12-2024</c:v>
                </c:pt>
                <c:pt idx="26">
                  <c:v>10-03-2025</c:v>
                </c:pt>
                <c:pt idx="27">
                  <c:v>29-07-2024</c:v>
                </c:pt>
                <c:pt idx="28">
                  <c:v>04-11-2024</c:v>
                </c:pt>
                <c:pt idx="29">
                  <c:v>05-08-2024</c:v>
                </c:pt>
                <c:pt idx="30">
                  <c:v>15-07-2024</c:v>
                </c:pt>
                <c:pt idx="31">
                  <c:v>31-03-2025</c:v>
                </c:pt>
                <c:pt idx="32">
                  <c:v>13-01-2025</c:v>
                </c:pt>
                <c:pt idx="33">
                  <c:v>14-04-2025</c:v>
                </c:pt>
                <c:pt idx="34">
                  <c:v>23-09-2024</c:v>
                </c:pt>
                <c:pt idx="35">
                  <c:v>17-02-2025</c:v>
                </c:pt>
                <c:pt idx="36">
                  <c:v>30-09-2024</c:v>
                </c:pt>
                <c:pt idx="37">
                  <c:v>17-06-2024</c:v>
                </c:pt>
                <c:pt idx="38">
                  <c:v>27-01-2025</c:v>
                </c:pt>
                <c:pt idx="39">
                  <c:v>17-03-2025</c:v>
                </c:pt>
                <c:pt idx="40">
                  <c:v>01-07-2024</c:v>
                </c:pt>
                <c:pt idx="41">
                  <c:v>10-02-2025</c:v>
                </c:pt>
                <c:pt idx="42">
                  <c:v>08-07-2024</c:v>
                </c:pt>
                <c:pt idx="43">
                  <c:v>16-12-2024</c:v>
                </c:pt>
                <c:pt idx="44">
                  <c:v>21-04-2025</c:v>
                </c:pt>
                <c:pt idx="45">
                  <c:v>28-04-2025</c:v>
                </c:pt>
                <c:pt idx="46">
                  <c:v>02-09-2024</c:v>
                </c:pt>
                <c:pt idx="47">
                  <c:v>30-12-2024</c:v>
                </c:pt>
                <c:pt idx="48">
                  <c:v>12-05-2025</c:v>
                </c:pt>
                <c:pt idx="49">
                  <c:v>18-11-2024</c:v>
                </c:pt>
              </c:strCache>
            </c:strRef>
          </c:cat>
          <c:val>
            <c:numRef>
              <c:f>'task 6.2'!$B$5:$B$55</c:f>
              <c:numCache>
                <c:formatCode>General</c:formatCode>
                <c:ptCount val="50"/>
                <c:pt idx="0">
                  <c:v>15994</c:v>
                </c:pt>
                <c:pt idx="1">
                  <c:v>15359</c:v>
                </c:pt>
                <c:pt idx="2">
                  <c:v>12447</c:v>
                </c:pt>
                <c:pt idx="3">
                  <c:v>12442</c:v>
                </c:pt>
                <c:pt idx="4">
                  <c:v>11613</c:v>
                </c:pt>
                <c:pt idx="5">
                  <c:v>10348</c:v>
                </c:pt>
                <c:pt idx="6">
                  <c:v>9427</c:v>
                </c:pt>
                <c:pt idx="7">
                  <c:v>9308</c:v>
                </c:pt>
                <c:pt idx="8">
                  <c:v>9082</c:v>
                </c:pt>
                <c:pt idx="9">
                  <c:v>8653</c:v>
                </c:pt>
                <c:pt idx="10">
                  <c:v>8601</c:v>
                </c:pt>
                <c:pt idx="11">
                  <c:v>7654</c:v>
                </c:pt>
                <c:pt idx="12">
                  <c:v>7478</c:v>
                </c:pt>
                <c:pt idx="13">
                  <c:v>7328</c:v>
                </c:pt>
                <c:pt idx="14">
                  <c:v>7115</c:v>
                </c:pt>
                <c:pt idx="15">
                  <c:v>7033</c:v>
                </c:pt>
                <c:pt idx="16">
                  <c:v>6918</c:v>
                </c:pt>
                <c:pt idx="17">
                  <c:v>6631</c:v>
                </c:pt>
                <c:pt idx="18">
                  <c:v>6434</c:v>
                </c:pt>
                <c:pt idx="19">
                  <c:v>5303</c:v>
                </c:pt>
                <c:pt idx="20">
                  <c:v>5220</c:v>
                </c:pt>
                <c:pt idx="21">
                  <c:v>5210</c:v>
                </c:pt>
                <c:pt idx="22">
                  <c:v>5143</c:v>
                </c:pt>
                <c:pt idx="23">
                  <c:v>4790</c:v>
                </c:pt>
                <c:pt idx="24">
                  <c:v>4189</c:v>
                </c:pt>
                <c:pt idx="25">
                  <c:v>3929</c:v>
                </c:pt>
                <c:pt idx="26">
                  <c:v>3555</c:v>
                </c:pt>
                <c:pt idx="27">
                  <c:v>3445</c:v>
                </c:pt>
                <c:pt idx="28">
                  <c:v>3056</c:v>
                </c:pt>
                <c:pt idx="29">
                  <c:v>2543</c:v>
                </c:pt>
                <c:pt idx="30">
                  <c:v>1826</c:v>
                </c:pt>
                <c:pt idx="31">
                  <c:v>1567</c:v>
                </c:pt>
                <c:pt idx="32">
                  <c:v>1001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7E-43ED-931C-459FD00F4FF7}"/>
            </c:ext>
          </c:extLst>
        </c:ser>
        <c:ser>
          <c:idx val="1"/>
          <c:order val="1"/>
          <c:tx>
            <c:strRef>
              <c:f>'task 6.2'!$C$3:$C$4</c:f>
              <c:strCache>
                <c:ptCount val="1"/>
                <c:pt idx="0">
                  <c:v>Twitter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'task 6.2'!$A$5:$A$55</c:f>
              <c:strCache>
                <c:ptCount val="50"/>
                <c:pt idx="0">
                  <c:v>03-06-2024</c:v>
                </c:pt>
                <c:pt idx="1">
                  <c:v>24-02-2025</c:v>
                </c:pt>
                <c:pt idx="2">
                  <c:v>03-02-2025</c:v>
                </c:pt>
                <c:pt idx="3">
                  <c:v>28-10-2024</c:v>
                </c:pt>
                <c:pt idx="4">
                  <c:v>09-09-2024</c:v>
                </c:pt>
                <c:pt idx="5">
                  <c:v>07-10-2024</c:v>
                </c:pt>
                <c:pt idx="6">
                  <c:v>19-08-2024</c:v>
                </c:pt>
                <c:pt idx="7">
                  <c:v>16-09-2024</c:v>
                </c:pt>
                <c:pt idx="8">
                  <c:v>22-07-2024</c:v>
                </c:pt>
                <c:pt idx="9">
                  <c:v>24-06-2024</c:v>
                </c:pt>
                <c:pt idx="10">
                  <c:v>06-01-2025</c:v>
                </c:pt>
                <c:pt idx="11">
                  <c:v>20-01-2025</c:v>
                </c:pt>
                <c:pt idx="12">
                  <c:v>10-06-2024</c:v>
                </c:pt>
                <c:pt idx="13">
                  <c:v>23-12-2024</c:v>
                </c:pt>
                <c:pt idx="14">
                  <c:v>14-10-2024</c:v>
                </c:pt>
                <c:pt idx="15">
                  <c:v>12-08-2024</c:v>
                </c:pt>
                <c:pt idx="16">
                  <c:v>21-10-2024</c:v>
                </c:pt>
                <c:pt idx="17">
                  <c:v>03-03-2025</c:v>
                </c:pt>
                <c:pt idx="18">
                  <c:v>07-04-2025</c:v>
                </c:pt>
                <c:pt idx="19">
                  <c:v>26-08-2024</c:v>
                </c:pt>
                <c:pt idx="20">
                  <c:v>11-11-2024</c:v>
                </c:pt>
                <c:pt idx="21">
                  <c:v>05-05-2025</c:v>
                </c:pt>
                <c:pt idx="22">
                  <c:v>25-11-2024</c:v>
                </c:pt>
                <c:pt idx="23">
                  <c:v>09-12-2024</c:v>
                </c:pt>
                <c:pt idx="24">
                  <c:v>24-03-2025</c:v>
                </c:pt>
                <c:pt idx="25">
                  <c:v>02-12-2024</c:v>
                </c:pt>
                <c:pt idx="26">
                  <c:v>10-03-2025</c:v>
                </c:pt>
                <c:pt idx="27">
                  <c:v>29-07-2024</c:v>
                </c:pt>
                <c:pt idx="28">
                  <c:v>04-11-2024</c:v>
                </c:pt>
                <c:pt idx="29">
                  <c:v>05-08-2024</c:v>
                </c:pt>
                <c:pt idx="30">
                  <c:v>15-07-2024</c:v>
                </c:pt>
                <c:pt idx="31">
                  <c:v>31-03-2025</c:v>
                </c:pt>
                <c:pt idx="32">
                  <c:v>13-01-2025</c:v>
                </c:pt>
                <c:pt idx="33">
                  <c:v>14-04-2025</c:v>
                </c:pt>
                <c:pt idx="34">
                  <c:v>23-09-2024</c:v>
                </c:pt>
                <c:pt idx="35">
                  <c:v>17-02-2025</c:v>
                </c:pt>
                <c:pt idx="36">
                  <c:v>30-09-2024</c:v>
                </c:pt>
                <c:pt idx="37">
                  <c:v>17-06-2024</c:v>
                </c:pt>
                <c:pt idx="38">
                  <c:v>27-01-2025</c:v>
                </c:pt>
                <c:pt idx="39">
                  <c:v>17-03-2025</c:v>
                </c:pt>
                <c:pt idx="40">
                  <c:v>01-07-2024</c:v>
                </c:pt>
                <c:pt idx="41">
                  <c:v>10-02-2025</c:v>
                </c:pt>
                <c:pt idx="42">
                  <c:v>08-07-2024</c:v>
                </c:pt>
                <c:pt idx="43">
                  <c:v>16-12-2024</c:v>
                </c:pt>
                <c:pt idx="44">
                  <c:v>21-04-2025</c:v>
                </c:pt>
                <c:pt idx="45">
                  <c:v>28-04-2025</c:v>
                </c:pt>
                <c:pt idx="46">
                  <c:v>02-09-2024</c:v>
                </c:pt>
                <c:pt idx="47">
                  <c:v>30-12-2024</c:v>
                </c:pt>
                <c:pt idx="48">
                  <c:v>12-05-2025</c:v>
                </c:pt>
                <c:pt idx="49">
                  <c:v>18-11-2024</c:v>
                </c:pt>
              </c:strCache>
            </c:strRef>
          </c:cat>
          <c:val>
            <c:numRef>
              <c:f>'task 6.2'!$C$5:$C$55</c:f>
              <c:numCache>
                <c:formatCode>General</c:formatCode>
                <c:ptCount val="50"/>
                <c:pt idx="0">
                  <c:v>7432</c:v>
                </c:pt>
                <c:pt idx="2">
                  <c:v>16086</c:v>
                </c:pt>
                <c:pt idx="7">
                  <c:v>3925</c:v>
                </c:pt>
                <c:pt idx="8">
                  <c:v>7733</c:v>
                </c:pt>
                <c:pt idx="9">
                  <c:v>15084</c:v>
                </c:pt>
                <c:pt idx="10">
                  <c:v>9202</c:v>
                </c:pt>
                <c:pt idx="11">
                  <c:v>20155</c:v>
                </c:pt>
                <c:pt idx="12">
                  <c:v>8369</c:v>
                </c:pt>
                <c:pt idx="14">
                  <c:v>16256</c:v>
                </c:pt>
                <c:pt idx="15">
                  <c:v>12800</c:v>
                </c:pt>
                <c:pt idx="17">
                  <c:v>6326</c:v>
                </c:pt>
                <c:pt idx="18">
                  <c:v>8319</c:v>
                </c:pt>
                <c:pt idx="19">
                  <c:v>5753</c:v>
                </c:pt>
                <c:pt idx="20">
                  <c:v>9649</c:v>
                </c:pt>
                <c:pt idx="23">
                  <c:v>6642</c:v>
                </c:pt>
                <c:pt idx="26">
                  <c:v>8723</c:v>
                </c:pt>
                <c:pt idx="27">
                  <c:v>6039</c:v>
                </c:pt>
                <c:pt idx="28">
                  <c:v>8687</c:v>
                </c:pt>
                <c:pt idx="29">
                  <c:v>3497</c:v>
                </c:pt>
                <c:pt idx="30">
                  <c:v>7092</c:v>
                </c:pt>
                <c:pt idx="31">
                  <c:v>6272</c:v>
                </c:pt>
                <c:pt idx="32">
                  <c:v>7346</c:v>
                </c:pt>
                <c:pt idx="34">
                  <c:v>4942</c:v>
                </c:pt>
                <c:pt idx="35">
                  <c:v>1290</c:v>
                </c:pt>
                <c:pt idx="36">
                  <c:v>8530</c:v>
                </c:pt>
                <c:pt idx="37">
                  <c:v>6073</c:v>
                </c:pt>
                <c:pt idx="38">
                  <c:v>11789</c:v>
                </c:pt>
                <c:pt idx="40">
                  <c:v>8463</c:v>
                </c:pt>
                <c:pt idx="41">
                  <c:v>1020</c:v>
                </c:pt>
                <c:pt idx="42">
                  <c:v>7151</c:v>
                </c:pt>
                <c:pt idx="43">
                  <c:v>6275</c:v>
                </c:pt>
                <c:pt idx="44">
                  <c:v>7058</c:v>
                </c:pt>
                <c:pt idx="45">
                  <c:v>15937</c:v>
                </c:pt>
                <c:pt idx="46">
                  <c:v>6593</c:v>
                </c:pt>
                <c:pt idx="47">
                  <c:v>3079</c:v>
                </c:pt>
                <c:pt idx="48">
                  <c:v>7436</c:v>
                </c:pt>
                <c:pt idx="49">
                  <c:v>6384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7E-43ED-931C-459FD00F4FF7}"/>
            </c:ext>
          </c:extLst>
        </c:ser>
        <c:ser>
          <c:idx val="2"/>
          <c:order val="2"/>
          <c:tx>
            <c:strRef>
              <c:f>'task 6.2'!$D$3:$D$4</c:f>
              <c:strCache>
                <c:ptCount val="1"/>
                <c:pt idx="0">
                  <c:v>LinkedIn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'task 6.2'!$A$5:$A$55</c:f>
              <c:strCache>
                <c:ptCount val="50"/>
                <c:pt idx="0">
                  <c:v>03-06-2024</c:v>
                </c:pt>
                <c:pt idx="1">
                  <c:v>24-02-2025</c:v>
                </c:pt>
                <c:pt idx="2">
                  <c:v>03-02-2025</c:v>
                </c:pt>
                <c:pt idx="3">
                  <c:v>28-10-2024</c:v>
                </c:pt>
                <c:pt idx="4">
                  <c:v>09-09-2024</c:v>
                </c:pt>
                <c:pt idx="5">
                  <c:v>07-10-2024</c:v>
                </c:pt>
                <c:pt idx="6">
                  <c:v>19-08-2024</c:v>
                </c:pt>
                <c:pt idx="7">
                  <c:v>16-09-2024</c:v>
                </c:pt>
                <c:pt idx="8">
                  <c:v>22-07-2024</c:v>
                </c:pt>
                <c:pt idx="9">
                  <c:v>24-06-2024</c:v>
                </c:pt>
                <c:pt idx="10">
                  <c:v>06-01-2025</c:v>
                </c:pt>
                <c:pt idx="11">
                  <c:v>20-01-2025</c:v>
                </c:pt>
                <c:pt idx="12">
                  <c:v>10-06-2024</c:v>
                </c:pt>
                <c:pt idx="13">
                  <c:v>23-12-2024</c:v>
                </c:pt>
                <c:pt idx="14">
                  <c:v>14-10-2024</c:v>
                </c:pt>
                <c:pt idx="15">
                  <c:v>12-08-2024</c:v>
                </c:pt>
                <c:pt idx="16">
                  <c:v>21-10-2024</c:v>
                </c:pt>
                <c:pt idx="17">
                  <c:v>03-03-2025</c:v>
                </c:pt>
                <c:pt idx="18">
                  <c:v>07-04-2025</c:v>
                </c:pt>
                <c:pt idx="19">
                  <c:v>26-08-2024</c:v>
                </c:pt>
                <c:pt idx="20">
                  <c:v>11-11-2024</c:v>
                </c:pt>
                <c:pt idx="21">
                  <c:v>05-05-2025</c:v>
                </c:pt>
                <c:pt idx="22">
                  <c:v>25-11-2024</c:v>
                </c:pt>
                <c:pt idx="23">
                  <c:v>09-12-2024</c:v>
                </c:pt>
                <c:pt idx="24">
                  <c:v>24-03-2025</c:v>
                </c:pt>
                <c:pt idx="25">
                  <c:v>02-12-2024</c:v>
                </c:pt>
                <c:pt idx="26">
                  <c:v>10-03-2025</c:v>
                </c:pt>
                <c:pt idx="27">
                  <c:v>29-07-2024</c:v>
                </c:pt>
                <c:pt idx="28">
                  <c:v>04-11-2024</c:v>
                </c:pt>
                <c:pt idx="29">
                  <c:v>05-08-2024</c:v>
                </c:pt>
                <c:pt idx="30">
                  <c:v>15-07-2024</c:v>
                </c:pt>
                <c:pt idx="31">
                  <c:v>31-03-2025</c:v>
                </c:pt>
                <c:pt idx="32">
                  <c:v>13-01-2025</c:v>
                </c:pt>
                <c:pt idx="33">
                  <c:v>14-04-2025</c:v>
                </c:pt>
                <c:pt idx="34">
                  <c:v>23-09-2024</c:v>
                </c:pt>
                <c:pt idx="35">
                  <c:v>17-02-2025</c:v>
                </c:pt>
                <c:pt idx="36">
                  <c:v>30-09-2024</c:v>
                </c:pt>
                <c:pt idx="37">
                  <c:v>17-06-2024</c:v>
                </c:pt>
                <c:pt idx="38">
                  <c:v>27-01-2025</c:v>
                </c:pt>
                <c:pt idx="39">
                  <c:v>17-03-2025</c:v>
                </c:pt>
                <c:pt idx="40">
                  <c:v>01-07-2024</c:v>
                </c:pt>
                <c:pt idx="41">
                  <c:v>10-02-2025</c:v>
                </c:pt>
                <c:pt idx="42">
                  <c:v>08-07-2024</c:v>
                </c:pt>
                <c:pt idx="43">
                  <c:v>16-12-2024</c:v>
                </c:pt>
                <c:pt idx="44">
                  <c:v>21-04-2025</c:v>
                </c:pt>
                <c:pt idx="45">
                  <c:v>28-04-2025</c:v>
                </c:pt>
                <c:pt idx="46">
                  <c:v>02-09-2024</c:v>
                </c:pt>
                <c:pt idx="47">
                  <c:v>30-12-2024</c:v>
                </c:pt>
                <c:pt idx="48">
                  <c:v>12-05-2025</c:v>
                </c:pt>
                <c:pt idx="49">
                  <c:v>18-11-2024</c:v>
                </c:pt>
              </c:strCache>
            </c:strRef>
          </c:cat>
          <c:val>
            <c:numRef>
              <c:f>'task 6.2'!$D$5:$D$55</c:f>
              <c:numCache>
                <c:formatCode>General</c:formatCode>
                <c:ptCount val="50"/>
                <c:pt idx="3">
                  <c:v>14812</c:v>
                </c:pt>
                <c:pt idx="4">
                  <c:v>6121</c:v>
                </c:pt>
                <c:pt idx="5">
                  <c:v>2421</c:v>
                </c:pt>
                <c:pt idx="7">
                  <c:v>2199</c:v>
                </c:pt>
                <c:pt idx="8">
                  <c:v>15403</c:v>
                </c:pt>
                <c:pt idx="10">
                  <c:v>9254</c:v>
                </c:pt>
                <c:pt idx="13">
                  <c:v>7541</c:v>
                </c:pt>
                <c:pt idx="17">
                  <c:v>7432</c:v>
                </c:pt>
                <c:pt idx="18">
                  <c:v>4542</c:v>
                </c:pt>
                <c:pt idx="19">
                  <c:v>1513</c:v>
                </c:pt>
                <c:pt idx="20">
                  <c:v>4882</c:v>
                </c:pt>
                <c:pt idx="21">
                  <c:v>2960</c:v>
                </c:pt>
                <c:pt idx="22">
                  <c:v>8945</c:v>
                </c:pt>
                <c:pt idx="23">
                  <c:v>949</c:v>
                </c:pt>
                <c:pt idx="24">
                  <c:v>21227</c:v>
                </c:pt>
                <c:pt idx="25">
                  <c:v>5402</c:v>
                </c:pt>
                <c:pt idx="26">
                  <c:v>2535</c:v>
                </c:pt>
                <c:pt idx="27">
                  <c:v>7537</c:v>
                </c:pt>
                <c:pt idx="28">
                  <c:v>4942</c:v>
                </c:pt>
                <c:pt idx="29">
                  <c:v>4847</c:v>
                </c:pt>
                <c:pt idx="31">
                  <c:v>1660</c:v>
                </c:pt>
                <c:pt idx="32">
                  <c:v>7471</c:v>
                </c:pt>
                <c:pt idx="33">
                  <c:v>24995</c:v>
                </c:pt>
                <c:pt idx="35">
                  <c:v>5101</c:v>
                </c:pt>
                <c:pt idx="37">
                  <c:v>6728</c:v>
                </c:pt>
                <c:pt idx="38">
                  <c:v>7260</c:v>
                </c:pt>
                <c:pt idx="39">
                  <c:v>19728</c:v>
                </c:pt>
                <c:pt idx="40">
                  <c:v>5442</c:v>
                </c:pt>
                <c:pt idx="41">
                  <c:v>12622</c:v>
                </c:pt>
                <c:pt idx="42">
                  <c:v>11378</c:v>
                </c:pt>
                <c:pt idx="43">
                  <c:v>8527</c:v>
                </c:pt>
                <c:pt idx="45">
                  <c:v>1512</c:v>
                </c:pt>
                <c:pt idx="46">
                  <c:v>8228</c:v>
                </c:pt>
                <c:pt idx="47">
                  <c:v>16577</c:v>
                </c:pt>
                <c:pt idx="48">
                  <c:v>8146</c:v>
                </c:pt>
                <c:pt idx="49">
                  <c:v>9648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7E-43ED-931C-459FD00F4FF7}"/>
            </c:ext>
          </c:extLst>
        </c:ser>
        <c:ser>
          <c:idx val="3"/>
          <c:order val="3"/>
          <c:tx>
            <c:strRef>
              <c:f>'task 6.2'!$E$3:$E$4</c:f>
              <c:strCache>
                <c:ptCount val="1"/>
                <c:pt idx="0">
                  <c:v>Instagram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'task 6.2'!$A$5:$A$55</c:f>
              <c:strCache>
                <c:ptCount val="50"/>
                <c:pt idx="0">
                  <c:v>03-06-2024</c:v>
                </c:pt>
                <c:pt idx="1">
                  <c:v>24-02-2025</c:v>
                </c:pt>
                <c:pt idx="2">
                  <c:v>03-02-2025</c:v>
                </c:pt>
                <c:pt idx="3">
                  <c:v>28-10-2024</c:v>
                </c:pt>
                <c:pt idx="4">
                  <c:v>09-09-2024</c:v>
                </c:pt>
                <c:pt idx="5">
                  <c:v>07-10-2024</c:v>
                </c:pt>
                <c:pt idx="6">
                  <c:v>19-08-2024</c:v>
                </c:pt>
                <c:pt idx="7">
                  <c:v>16-09-2024</c:v>
                </c:pt>
                <c:pt idx="8">
                  <c:v>22-07-2024</c:v>
                </c:pt>
                <c:pt idx="9">
                  <c:v>24-06-2024</c:v>
                </c:pt>
                <c:pt idx="10">
                  <c:v>06-01-2025</c:v>
                </c:pt>
                <c:pt idx="11">
                  <c:v>20-01-2025</c:v>
                </c:pt>
                <c:pt idx="12">
                  <c:v>10-06-2024</c:v>
                </c:pt>
                <c:pt idx="13">
                  <c:v>23-12-2024</c:v>
                </c:pt>
                <c:pt idx="14">
                  <c:v>14-10-2024</c:v>
                </c:pt>
                <c:pt idx="15">
                  <c:v>12-08-2024</c:v>
                </c:pt>
                <c:pt idx="16">
                  <c:v>21-10-2024</c:v>
                </c:pt>
                <c:pt idx="17">
                  <c:v>03-03-2025</c:v>
                </c:pt>
                <c:pt idx="18">
                  <c:v>07-04-2025</c:v>
                </c:pt>
                <c:pt idx="19">
                  <c:v>26-08-2024</c:v>
                </c:pt>
                <c:pt idx="20">
                  <c:v>11-11-2024</c:v>
                </c:pt>
                <c:pt idx="21">
                  <c:v>05-05-2025</c:v>
                </c:pt>
                <c:pt idx="22">
                  <c:v>25-11-2024</c:v>
                </c:pt>
                <c:pt idx="23">
                  <c:v>09-12-2024</c:v>
                </c:pt>
                <c:pt idx="24">
                  <c:v>24-03-2025</c:v>
                </c:pt>
                <c:pt idx="25">
                  <c:v>02-12-2024</c:v>
                </c:pt>
                <c:pt idx="26">
                  <c:v>10-03-2025</c:v>
                </c:pt>
                <c:pt idx="27">
                  <c:v>29-07-2024</c:v>
                </c:pt>
                <c:pt idx="28">
                  <c:v>04-11-2024</c:v>
                </c:pt>
                <c:pt idx="29">
                  <c:v>05-08-2024</c:v>
                </c:pt>
                <c:pt idx="30">
                  <c:v>15-07-2024</c:v>
                </c:pt>
                <c:pt idx="31">
                  <c:v>31-03-2025</c:v>
                </c:pt>
                <c:pt idx="32">
                  <c:v>13-01-2025</c:v>
                </c:pt>
                <c:pt idx="33">
                  <c:v>14-04-2025</c:v>
                </c:pt>
                <c:pt idx="34">
                  <c:v>23-09-2024</c:v>
                </c:pt>
                <c:pt idx="35">
                  <c:v>17-02-2025</c:v>
                </c:pt>
                <c:pt idx="36">
                  <c:v>30-09-2024</c:v>
                </c:pt>
                <c:pt idx="37">
                  <c:v>17-06-2024</c:v>
                </c:pt>
                <c:pt idx="38">
                  <c:v>27-01-2025</c:v>
                </c:pt>
                <c:pt idx="39">
                  <c:v>17-03-2025</c:v>
                </c:pt>
                <c:pt idx="40">
                  <c:v>01-07-2024</c:v>
                </c:pt>
                <c:pt idx="41">
                  <c:v>10-02-2025</c:v>
                </c:pt>
                <c:pt idx="42">
                  <c:v>08-07-2024</c:v>
                </c:pt>
                <c:pt idx="43">
                  <c:v>16-12-2024</c:v>
                </c:pt>
                <c:pt idx="44">
                  <c:v>21-04-2025</c:v>
                </c:pt>
                <c:pt idx="45">
                  <c:v>28-04-2025</c:v>
                </c:pt>
                <c:pt idx="46">
                  <c:v>02-09-2024</c:v>
                </c:pt>
                <c:pt idx="47">
                  <c:v>30-12-2024</c:v>
                </c:pt>
                <c:pt idx="48">
                  <c:v>12-05-2025</c:v>
                </c:pt>
                <c:pt idx="49">
                  <c:v>18-11-2024</c:v>
                </c:pt>
              </c:strCache>
            </c:strRef>
          </c:cat>
          <c:val>
            <c:numRef>
              <c:f>'task 6.2'!$E$5:$E$55</c:f>
              <c:numCache>
                <c:formatCode>General</c:formatCode>
                <c:ptCount val="50"/>
                <c:pt idx="0">
                  <c:v>3777</c:v>
                </c:pt>
                <c:pt idx="1">
                  <c:v>15087</c:v>
                </c:pt>
                <c:pt idx="4">
                  <c:v>7442</c:v>
                </c:pt>
                <c:pt idx="5">
                  <c:v>4808</c:v>
                </c:pt>
                <c:pt idx="6">
                  <c:v>13835</c:v>
                </c:pt>
                <c:pt idx="9">
                  <c:v>4885</c:v>
                </c:pt>
                <c:pt idx="12">
                  <c:v>7215</c:v>
                </c:pt>
                <c:pt idx="13">
                  <c:v>4314</c:v>
                </c:pt>
                <c:pt idx="15">
                  <c:v>6853</c:v>
                </c:pt>
                <c:pt idx="16">
                  <c:v>23973</c:v>
                </c:pt>
                <c:pt idx="18">
                  <c:v>1425</c:v>
                </c:pt>
                <c:pt idx="19">
                  <c:v>8231</c:v>
                </c:pt>
                <c:pt idx="21">
                  <c:v>7959</c:v>
                </c:pt>
                <c:pt idx="22">
                  <c:v>14537</c:v>
                </c:pt>
                <c:pt idx="23">
                  <c:v>3461</c:v>
                </c:pt>
                <c:pt idx="25">
                  <c:v>8999</c:v>
                </c:pt>
                <c:pt idx="26">
                  <c:v>2994</c:v>
                </c:pt>
                <c:pt idx="29">
                  <c:v>3213</c:v>
                </c:pt>
                <c:pt idx="30">
                  <c:v>4967</c:v>
                </c:pt>
                <c:pt idx="31">
                  <c:v>6128</c:v>
                </c:pt>
                <c:pt idx="32">
                  <c:v>2919</c:v>
                </c:pt>
                <c:pt idx="34">
                  <c:v>13040</c:v>
                </c:pt>
                <c:pt idx="35">
                  <c:v>11468</c:v>
                </c:pt>
                <c:pt idx="36">
                  <c:v>9904</c:v>
                </c:pt>
                <c:pt idx="37">
                  <c:v>13130</c:v>
                </c:pt>
                <c:pt idx="38">
                  <c:v>3643</c:v>
                </c:pt>
                <c:pt idx="39">
                  <c:v>8292</c:v>
                </c:pt>
                <c:pt idx="40">
                  <c:v>5928</c:v>
                </c:pt>
                <c:pt idx="43">
                  <c:v>4802</c:v>
                </c:pt>
                <c:pt idx="44">
                  <c:v>15012</c:v>
                </c:pt>
                <c:pt idx="46">
                  <c:v>7396</c:v>
                </c:pt>
                <c:pt idx="47">
                  <c:v>4214</c:v>
                </c:pt>
                <c:pt idx="48">
                  <c:v>2805</c:v>
                </c:pt>
                <c:pt idx="49">
                  <c:v>5206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27E-43ED-931C-459FD00F4F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4843535"/>
        <c:axId val="674862735"/>
      </c:lineChart>
      <c:catAx>
        <c:axId val="674843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862735"/>
        <c:crosses val="autoZero"/>
        <c:auto val="1"/>
        <c:lblAlgn val="ctr"/>
        <c:lblOffset val="100"/>
        <c:noMultiLvlLbl val="0"/>
      </c:catAx>
      <c:valAx>
        <c:axId val="674862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843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[6 Follower Retention ^0 Loyalty task.xlsx]task 6.1!PivotTable3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weekly follower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'task 6.1'!$B$3:$B$4</c:f>
              <c:strCache>
                <c:ptCount val="1"/>
                <c:pt idx="0">
                  <c:v>Instagram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'task 6.1'!$A$5:$A$55</c:f>
              <c:strCache>
                <c:ptCount val="50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</c:strCache>
            </c:strRef>
          </c:cat>
          <c:val>
            <c:numRef>
              <c:f>'task 6.1'!$B$5:$B$55</c:f>
              <c:numCache>
                <c:formatCode>General</c:formatCode>
                <c:ptCount val="50"/>
                <c:pt idx="0">
                  <c:v>3777</c:v>
                </c:pt>
                <c:pt idx="1">
                  <c:v>7215</c:v>
                </c:pt>
                <c:pt idx="2">
                  <c:v>13130</c:v>
                </c:pt>
                <c:pt idx="3">
                  <c:v>4885</c:v>
                </c:pt>
                <c:pt idx="4">
                  <c:v>5928</c:v>
                </c:pt>
                <c:pt idx="6">
                  <c:v>4967</c:v>
                </c:pt>
                <c:pt idx="9">
                  <c:v>3213</c:v>
                </c:pt>
                <c:pt idx="10">
                  <c:v>6853</c:v>
                </c:pt>
                <c:pt idx="11">
                  <c:v>13835</c:v>
                </c:pt>
                <c:pt idx="12">
                  <c:v>8231</c:v>
                </c:pt>
                <c:pt idx="13">
                  <c:v>7396</c:v>
                </c:pt>
                <c:pt idx="14">
                  <c:v>7442</c:v>
                </c:pt>
                <c:pt idx="16">
                  <c:v>13040</c:v>
                </c:pt>
                <c:pt idx="17">
                  <c:v>9904</c:v>
                </c:pt>
                <c:pt idx="18">
                  <c:v>4808</c:v>
                </c:pt>
                <c:pt idx="20">
                  <c:v>23973</c:v>
                </c:pt>
                <c:pt idx="24">
                  <c:v>5206</c:v>
                </c:pt>
                <c:pt idx="25">
                  <c:v>14537</c:v>
                </c:pt>
                <c:pt idx="26">
                  <c:v>8999</c:v>
                </c:pt>
                <c:pt idx="27">
                  <c:v>3461</c:v>
                </c:pt>
                <c:pt idx="28">
                  <c:v>4802</c:v>
                </c:pt>
                <c:pt idx="29">
                  <c:v>4314</c:v>
                </c:pt>
                <c:pt idx="30">
                  <c:v>4214</c:v>
                </c:pt>
                <c:pt idx="32">
                  <c:v>2919</c:v>
                </c:pt>
                <c:pt idx="34">
                  <c:v>3643</c:v>
                </c:pt>
                <c:pt idx="37">
                  <c:v>11468</c:v>
                </c:pt>
                <c:pt idx="38">
                  <c:v>15087</c:v>
                </c:pt>
                <c:pt idx="40">
                  <c:v>2994</c:v>
                </c:pt>
                <c:pt idx="41">
                  <c:v>8292</c:v>
                </c:pt>
                <c:pt idx="43">
                  <c:v>6128</c:v>
                </c:pt>
                <c:pt idx="44">
                  <c:v>1425</c:v>
                </c:pt>
                <c:pt idx="46">
                  <c:v>15012</c:v>
                </c:pt>
                <c:pt idx="48">
                  <c:v>7959</c:v>
                </c:pt>
                <c:pt idx="49">
                  <c:v>2805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4D-4BE2-8C23-6CD76EB7C9C0}"/>
            </c:ext>
          </c:extLst>
        </c:ser>
        <c:ser>
          <c:idx val="1"/>
          <c:order val="1"/>
          <c:tx>
            <c:strRef>
              <c:f>'task 6.1'!$C$3:$C$4</c:f>
              <c:strCache>
                <c:ptCount val="1"/>
                <c:pt idx="0">
                  <c:v>LinkedIn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'task 6.1'!$A$5:$A$55</c:f>
              <c:strCache>
                <c:ptCount val="50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</c:strCache>
            </c:strRef>
          </c:cat>
          <c:val>
            <c:numRef>
              <c:f>'task 6.1'!$C$5:$C$55</c:f>
              <c:numCache>
                <c:formatCode>General</c:formatCode>
                <c:ptCount val="50"/>
                <c:pt idx="2">
                  <c:v>6728</c:v>
                </c:pt>
                <c:pt idx="4">
                  <c:v>5442</c:v>
                </c:pt>
                <c:pt idx="5">
                  <c:v>11378</c:v>
                </c:pt>
                <c:pt idx="7">
                  <c:v>15403</c:v>
                </c:pt>
                <c:pt idx="8">
                  <c:v>7537</c:v>
                </c:pt>
                <c:pt idx="9">
                  <c:v>4847</c:v>
                </c:pt>
                <c:pt idx="12">
                  <c:v>1513</c:v>
                </c:pt>
                <c:pt idx="13">
                  <c:v>8228</c:v>
                </c:pt>
                <c:pt idx="14">
                  <c:v>6121</c:v>
                </c:pt>
                <c:pt idx="15">
                  <c:v>2199</c:v>
                </c:pt>
                <c:pt idx="18">
                  <c:v>2421</c:v>
                </c:pt>
                <c:pt idx="21">
                  <c:v>14812</c:v>
                </c:pt>
                <c:pt idx="22">
                  <c:v>4942</c:v>
                </c:pt>
                <c:pt idx="23">
                  <c:v>4882</c:v>
                </c:pt>
                <c:pt idx="24">
                  <c:v>9648</c:v>
                </c:pt>
                <c:pt idx="25">
                  <c:v>8945</c:v>
                </c:pt>
                <c:pt idx="26">
                  <c:v>5402</c:v>
                </c:pt>
                <c:pt idx="27">
                  <c:v>949</c:v>
                </c:pt>
                <c:pt idx="28">
                  <c:v>8527</c:v>
                </c:pt>
                <c:pt idx="29">
                  <c:v>7541</c:v>
                </c:pt>
                <c:pt idx="30">
                  <c:v>16577</c:v>
                </c:pt>
                <c:pt idx="31">
                  <c:v>9254</c:v>
                </c:pt>
                <c:pt idx="32">
                  <c:v>7471</c:v>
                </c:pt>
                <c:pt idx="34">
                  <c:v>7260</c:v>
                </c:pt>
                <c:pt idx="36">
                  <c:v>12622</c:v>
                </c:pt>
                <c:pt idx="37">
                  <c:v>5101</c:v>
                </c:pt>
                <c:pt idx="39">
                  <c:v>7432</c:v>
                </c:pt>
                <c:pt idx="40">
                  <c:v>2535</c:v>
                </c:pt>
                <c:pt idx="41">
                  <c:v>19728</c:v>
                </c:pt>
                <c:pt idx="42">
                  <c:v>21227</c:v>
                </c:pt>
                <c:pt idx="43">
                  <c:v>1660</c:v>
                </c:pt>
                <c:pt idx="44">
                  <c:v>4542</c:v>
                </c:pt>
                <c:pt idx="45">
                  <c:v>24995</c:v>
                </c:pt>
                <c:pt idx="47">
                  <c:v>1512</c:v>
                </c:pt>
                <c:pt idx="48">
                  <c:v>2960</c:v>
                </c:pt>
                <c:pt idx="49">
                  <c:v>8146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4D-4BE2-8C23-6CD76EB7C9C0}"/>
            </c:ext>
          </c:extLst>
        </c:ser>
        <c:ser>
          <c:idx val="2"/>
          <c:order val="2"/>
          <c:tx>
            <c:strRef>
              <c:f>'task 6.1'!$D$3:$D$4</c:f>
              <c:strCache>
                <c:ptCount val="1"/>
                <c:pt idx="0">
                  <c:v>Twitter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'task 6.1'!$A$5:$A$55</c:f>
              <c:strCache>
                <c:ptCount val="50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</c:strCache>
            </c:strRef>
          </c:cat>
          <c:val>
            <c:numRef>
              <c:f>'task 6.1'!$D$5:$D$55</c:f>
              <c:numCache>
                <c:formatCode>General</c:formatCode>
                <c:ptCount val="50"/>
                <c:pt idx="0">
                  <c:v>7432</c:v>
                </c:pt>
                <c:pt idx="1">
                  <c:v>8369</c:v>
                </c:pt>
                <c:pt idx="2">
                  <c:v>6073</c:v>
                </c:pt>
                <c:pt idx="3">
                  <c:v>15084</c:v>
                </c:pt>
                <c:pt idx="4">
                  <c:v>8463</c:v>
                </c:pt>
                <c:pt idx="5">
                  <c:v>7151</c:v>
                </c:pt>
                <c:pt idx="6">
                  <c:v>7092</c:v>
                </c:pt>
                <c:pt idx="7">
                  <c:v>7733</c:v>
                </c:pt>
                <c:pt idx="8">
                  <c:v>6039</c:v>
                </c:pt>
                <c:pt idx="9">
                  <c:v>3497</c:v>
                </c:pt>
                <c:pt idx="10">
                  <c:v>12800</c:v>
                </c:pt>
                <c:pt idx="12">
                  <c:v>5753</c:v>
                </c:pt>
                <c:pt idx="13">
                  <c:v>6593</c:v>
                </c:pt>
                <c:pt idx="15">
                  <c:v>3925</c:v>
                </c:pt>
                <c:pt idx="16">
                  <c:v>4942</c:v>
                </c:pt>
                <c:pt idx="17">
                  <c:v>8530</c:v>
                </c:pt>
                <c:pt idx="19">
                  <c:v>16256</c:v>
                </c:pt>
                <c:pt idx="22">
                  <c:v>8687</c:v>
                </c:pt>
                <c:pt idx="23">
                  <c:v>9649</c:v>
                </c:pt>
                <c:pt idx="24">
                  <c:v>6384</c:v>
                </c:pt>
                <c:pt idx="27">
                  <c:v>6642</c:v>
                </c:pt>
                <c:pt idx="28">
                  <c:v>6275</c:v>
                </c:pt>
                <c:pt idx="30">
                  <c:v>3079</c:v>
                </c:pt>
                <c:pt idx="31">
                  <c:v>9202</c:v>
                </c:pt>
                <c:pt idx="32">
                  <c:v>7346</c:v>
                </c:pt>
                <c:pt idx="33">
                  <c:v>20155</c:v>
                </c:pt>
                <c:pt idx="34">
                  <c:v>11789</c:v>
                </c:pt>
                <c:pt idx="35">
                  <c:v>16086</c:v>
                </c:pt>
                <c:pt idx="36">
                  <c:v>1020</c:v>
                </c:pt>
                <c:pt idx="37">
                  <c:v>1290</c:v>
                </c:pt>
                <c:pt idx="39">
                  <c:v>6326</c:v>
                </c:pt>
                <c:pt idx="40">
                  <c:v>8723</c:v>
                </c:pt>
                <c:pt idx="43">
                  <c:v>6272</c:v>
                </c:pt>
                <c:pt idx="44">
                  <c:v>8319</c:v>
                </c:pt>
                <c:pt idx="46">
                  <c:v>7058</c:v>
                </c:pt>
                <c:pt idx="47">
                  <c:v>15937</c:v>
                </c:pt>
                <c:pt idx="49">
                  <c:v>7436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4D-4BE2-8C23-6CD76EB7C9C0}"/>
            </c:ext>
          </c:extLst>
        </c:ser>
        <c:ser>
          <c:idx val="3"/>
          <c:order val="3"/>
          <c:tx>
            <c:strRef>
              <c:f>'task 6.1'!$E$3:$E$4</c:f>
              <c:strCache>
                <c:ptCount val="1"/>
                <c:pt idx="0">
                  <c:v>YouTube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'task 6.1'!$A$5:$A$55</c:f>
              <c:strCache>
                <c:ptCount val="50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</c:strCache>
            </c:strRef>
          </c:cat>
          <c:val>
            <c:numRef>
              <c:f>'task 6.1'!$E$5:$E$55</c:f>
              <c:numCache>
                <c:formatCode>General</c:formatCode>
                <c:ptCount val="50"/>
                <c:pt idx="0">
                  <c:v>15994</c:v>
                </c:pt>
                <c:pt idx="1">
                  <c:v>7478</c:v>
                </c:pt>
                <c:pt idx="3">
                  <c:v>8653</c:v>
                </c:pt>
                <c:pt idx="6">
                  <c:v>1826</c:v>
                </c:pt>
                <c:pt idx="7">
                  <c:v>9082</c:v>
                </c:pt>
                <c:pt idx="8">
                  <c:v>3445</c:v>
                </c:pt>
                <c:pt idx="9">
                  <c:v>2543</c:v>
                </c:pt>
                <c:pt idx="10">
                  <c:v>7033</c:v>
                </c:pt>
                <c:pt idx="11">
                  <c:v>9427</c:v>
                </c:pt>
                <c:pt idx="12">
                  <c:v>5303</c:v>
                </c:pt>
                <c:pt idx="14">
                  <c:v>11613</c:v>
                </c:pt>
                <c:pt idx="15">
                  <c:v>9308</c:v>
                </c:pt>
                <c:pt idx="18">
                  <c:v>10348</c:v>
                </c:pt>
                <c:pt idx="19">
                  <c:v>7115</c:v>
                </c:pt>
                <c:pt idx="20">
                  <c:v>6918</c:v>
                </c:pt>
                <c:pt idx="21">
                  <c:v>12442</c:v>
                </c:pt>
                <c:pt idx="22">
                  <c:v>3056</c:v>
                </c:pt>
                <c:pt idx="23">
                  <c:v>5220</c:v>
                </c:pt>
                <c:pt idx="25">
                  <c:v>5143</c:v>
                </c:pt>
                <c:pt idx="26">
                  <c:v>3929</c:v>
                </c:pt>
                <c:pt idx="27">
                  <c:v>4790</c:v>
                </c:pt>
                <c:pt idx="29">
                  <c:v>7328</c:v>
                </c:pt>
                <c:pt idx="31">
                  <c:v>8601</c:v>
                </c:pt>
                <c:pt idx="32">
                  <c:v>1001</c:v>
                </c:pt>
                <c:pt idx="33">
                  <c:v>7654</c:v>
                </c:pt>
                <c:pt idx="35">
                  <c:v>12447</c:v>
                </c:pt>
                <c:pt idx="38">
                  <c:v>15359</c:v>
                </c:pt>
                <c:pt idx="39">
                  <c:v>6631</c:v>
                </c:pt>
                <c:pt idx="40">
                  <c:v>3555</c:v>
                </c:pt>
                <c:pt idx="42">
                  <c:v>4189</c:v>
                </c:pt>
                <c:pt idx="43">
                  <c:v>1567</c:v>
                </c:pt>
                <c:pt idx="44">
                  <c:v>6434</c:v>
                </c:pt>
                <c:pt idx="48">
                  <c:v>5210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4D-4BE2-8C23-6CD76EB7C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4843535"/>
        <c:axId val="674862735"/>
      </c:lineChart>
      <c:catAx>
        <c:axId val="674843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862735"/>
        <c:crosses val="autoZero"/>
        <c:auto val="1"/>
        <c:lblAlgn val="ctr"/>
        <c:lblOffset val="100"/>
        <c:noMultiLvlLbl val="0"/>
      </c:catAx>
      <c:valAx>
        <c:axId val="674862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843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187325</xdr:colOff>
      <xdr:row>5</xdr:row>
      <xdr:rowOff>152400</xdr:rowOff>
    </xdr:from>
    <xdr:to>
      <xdr:col>12</xdr:col>
      <xdr:colOff>403225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4C049D-E8F7-02AF-4208-F4AF16B781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336550</xdr:colOff>
      <xdr:row>4</xdr:row>
      <xdr:rowOff>6350</xdr:rowOff>
    </xdr:from>
    <xdr:to>
      <xdr:col>18</xdr:col>
      <xdr:colOff>12700</xdr:colOff>
      <xdr:row>23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E19FA6-0B1D-4FF4-93FF-F475BF7596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158750</xdr:colOff>
      <xdr:row>4</xdr:row>
      <xdr:rowOff>6350</xdr:rowOff>
    </xdr:from>
    <xdr:to>
      <xdr:col>14</xdr:col>
      <xdr:colOff>463550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196DD6-65D1-428C-9126-FBDF0F1A41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158750</xdr:colOff>
      <xdr:row>4</xdr:row>
      <xdr:rowOff>6350</xdr:rowOff>
    </xdr:from>
    <xdr:to>
      <xdr:col>14</xdr:col>
      <xdr:colOff>463550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F619CB-EC9F-7E3D-DAAE-037185AD1B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emvasanth kadle" refreshedDate="46006.881024652779" createdVersion="8" refreshedVersion="8" minRefreshableVersion="3" recordCount="200" xr:uid="{EE458CFF-41C6-41A8-ADC1-5DF9AEF5B005}">
  <cacheSource type="worksheet">
    <worksheetSource name="Engagement_Summary"/>
  </cacheSource>
  <cacheFields count="11">
    <cacheField name="Week_Start_Date" numFmtId="14">
      <sharedItems containsSemiMixedTypes="0" containsNonDate="0" containsDate="1" containsString="0" minDate="2024-06-03T00:00:00" maxDate="2025-05-13T00:00:00" count="50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</sharedItems>
      <fieldGroup par="10"/>
    </cacheField>
    <cacheField name="Platform" numFmtId="0">
      <sharedItems count="4">
        <s v="Instagram"/>
        <s v="Twitter"/>
        <s v="YouTube"/>
        <s v="LinkedIn"/>
      </sharedItems>
    </cacheField>
    <cacheField name="New_Followers" numFmtId="0">
      <sharedItems containsSemiMixedTypes="0" containsString="0" containsNumber="1" containsInteger="1" minValue="1016" maxValue="9984"/>
    </cacheField>
    <cacheField name="Unfollows" numFmtId="0">
      <sharedItems containsSemiMixedTypes="0" containsString="0" containsNumber="1" containsInteger="1" minValue="67" maxValue="1417"/>
    </cacheField>
    <cacheField name="Total_Followers" numFmtId="0">
      <sharedItems containsSemiMixedTypes="0" containsString="0" containsNumber="1" containsInteger="1" minValue="103777" maxValue="1186398"/>
    </cacheField>
    <cacheField name="     net followers gain" numFmtId="0">
      <sharedItems containsSemiMixedTypes="0" containsString="0" containsNumber="1" containsInteger="1" minValue="893" maxValue="9335"/>
    </cacheField>
    <cacheField name="Engagement_Rate" numFmtId="0">
      <sharedItems containsSemiMixedTypes="0" containsString="0" containsNumber="1" minValue="1.381177897889402" maxValue="92.312204605638044"/>
    </cacheField>
    <cacheField name="Ad_Spend" numFmtId="0">
      <sharedItems containsSemiMixedTypes="0" containsString="0" containsNumber="1" containsInteger="1" minValue="10161" maxValue="59823"/>
    </cacheField>
    <cacheField name="Months (Week_Start_Date)" numFmtId="0" databaseField="0">
      <fieldGroup base="0">
        <rangePr groupBy="months" startDate="2024-06-03T00:00:00" endDate="2025-05-13T00:00:00"/>
        <groupItems count="14">
          <s v="&lt;03-06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3-05-2025"/>
        </groupItems>
      </fieldGroup>
    </cacheField>
    <cacheField name="Quarters (Week_Start_Date)" numFmtId="0" databaseField="0">
      <fieldGroup base="0">
        <rangePr groupBy="quarters" startDate="2024-06-03T00:00:00" endDate="2025-05-13T00:00:00"/>
        <groupItems count="6">
          <s v="&lt;03-06-2024"/>
          <s v="Qtr1"/>
          <s v="Qtr2"/>
          <s v="Qtr3"/>
          <s v="Qtr4"/>
          <s v="&gt;13-05-2025"/>
        </groupItems>
      </fieldGroup>
    </cacheField>
    <cacheField name="Years (Week_Start_Date)" numFmtId="0" databaseField="0">
      <fieldGroup base="0">
        <rangePr groupBy="years" startDate="2024-06-03T00:00:00" endDate="2025-05-13T00:00:00"/>
        <groupItems count="4">
          <s v="&lt;03-06-2024"/>
          <s v="2024"/>
          <s v="2025"/>
          <s v="&gt;13-05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n v="4138"/>
    <n v="361"/>
    <n v="103777"/>
    <n v="3777"/>
    <n v="56.637790647253247"/>
    <n v="23944"/>
  </r>
  <r>
    <x v="0"/>
    <x v="1"/>
    <n v="8693"/>
    <n v="1261"/>
    <n v="111209"/>
    <n v="7432"/>
    <n v="69.475492091467416"/>
    <n v="29873"/>
  </r>
  <r>
    <x v="0"/>
    <x v="2"/>
    <n v="9264"/>
    <n v="1141"/>
    <n v="119332"/>
    <n v="8123"/>
    <n v="92.312204605638044"/>
    <n v="50372"/>
  </r>
  <r>
    <x v="0"/>
    <x v="2"/>
    <n v="8842"/>
    <n v="971"/>
    <n v="127203"/>
    <n v="7871"/>
    <n v="16.351815601833291"/>
    <n v="33928"/>
  </r>
  <r>
    <x v="1"/>
    <x v="0"/>
    <n v="7721"/>
    <n v="506"/>
    <n v="134418"/>
    <n v="7215"/>
    <n v="35.577824398518047"/>
    <n v="25379"/>
  </r>
  <r>
    <x v="1"/>
    <x v="2"/>
    <n v="8002"/>
    <n v="524"/>
    <n v="141896"/>
    <n v="7478"/>
    <n v="52.064892597395271"/>
    <n v="46751"/>
  </r>
  <r>
    <x v="1"/>
    <x v="1"/>
    <n v="5225"/>
    <n v="291"/>
    <n v="146830"/>
    <n v="4934"/>
    <n v="19.551862698358651"/>
    <n v="44546"/>
  </r>
  <r>
    <x v="1"/>
    <x v="1"/>
    <n v="3978"/>
    <n v="543"/>
    <n v="150265"/>
    <n v="3435"/>
    <n v="49.159817655475329"/>
    <n v="34286"/>
  </r>
  <r>
    <x v="2"/>
    <x v="0"/>
    <n v="8373"/>
    <n v="921"/>
    <n v="157717"/>
    <n v="7452"/>
    <n v="12.2263294381709"/>
    <n v="15110"/>
  </r>
  <r>
    <x v="2"/>
    <x v="1"/>
    <n v="6907"/>
    <n v="834"/>
    <n v="163790"/>
    <n v="6073"/>
    <n v="54.158984064961238"/>
    <n v="22087"/>
  </r>
  <r>
    <x v="2"/>
    <x v="3"/>
    <n v="7097"/>
    <n v="369"/>
    <n v="170518"/>
    <n v="6728"/>
    <n v="9.2506362964613711"/>
    <n v="33762"/>
  </r>
  <r>
    <x v="2"/>
    <x v="0"/>
    <n v="6656"/>
    <n v="978"/>
    <n v="176196"/>
    <n v="5678"/>
    <n v="60.425889350496043"/>
    <n v="27081"/>
  </r>
  <r>
    <x v="3"/>
    <x v="1"/>
    <n v="9984"/>
    <n v="1330"/>
    <n v="184850"/>
    <n v="8654"/>
    <n v="57.524479307546663"/>
    <n v="44947"/>
  </r>
  <r>
    <x v="3"/>
    <x v="0"/>
    <n v="5259"/>
    <n v="374"/>
    <n v="189735"/>
    <n v="4885"/>
    <n v="14.827522597306769"/>
    <n v="19596"/>
  </r>
  <r>
    <x v="3"/>
    <x v="2"/>
    <n v="9286"/>
    <n v="633"/>
    <n v="198388"/>
    <n v="8653"/>
    <n v="5.4343004617214756"/>
    <n v="48019"/>
  </r>
  <r>
    <x v="3"/>
    <x v="1"/>
    <n v="6901"/>
    <n v="471"/>
    <n v="204818"/>
    <n v="6430"/>
    <n v="60.827661631301943"/>
    <n v="52003"/>
  </r>
  <r>
    <x v="4"/>
    <x v="3"/>
    <n v="5917"/>
    <n v="475"/>
    <n v="210260"/>
    <n v="5442"/>
    <n v="17.894035955483691"/>
    <n v="28313"/>
  </r>
  <r>
    <x v="4"/>
    <x v="1"/>
    <n v="9429"/>
    <n v="966"/>
    <n v="218723"/>
    <n v="8463"/>
    <n v="7.6914636320825887"/>
    <n v="57639"/>
  </r>
  <r>
    <x v="4"/>
    <x v="0"/>
    <n v="3530"/>
    <n v="328"/>
    <n v="221925"/>
    <n v="3202"/>
    <n v="12.8372197814577"/>
    <n v="11013"/>
  </r>
  <r>
    <x v="4"/>
    <x v="0"/>
    <n v="2960"/>
    <n v="234"/>
    <n v="224651"/>
    <n v="2726"/>
    <n v="17.41278694508371"/>
    <n v="59378"/>
  </r>
  <r>
    <x v="5"/>
    <x v="1"/>
    <n v="8045"/>
    <n v="894"/>
    <n v="231802"/>
    <n v="7151"/>
    <n v="47.634187798207087"/>
    <n v="33705"/>
  </r>
  <r>
    <x v="5"/>
    <x v="3"/>
    <n v="2048"/>
    <n v="130"/>
    <n v="233720"/>
    <n v="1918"/>
    <n v="39.284614068115687"/>
    <n v="11828"/>
  </r>
  <r>
    <x v="5"/>
    <x v="3"/>
    <n v="6772"/>
    <n v="536"/>
    <n v="239956"/>
    <n v="6236"/>
    <n v="9.8205504342462788"/>
    <n v="17909"/>
  </r>
  <r>
    <x v="5"/>
    <x v="3"/>
    <n v="3529"/>
    <n v="305"/>
    <n v="243180"/>
    <n v="3224"/>
    <n v="41.606628834608109"/>
    <n v="48356"/>
  </r>
  <r>
    <x v="6"/>
    <x v="0"/>
    <n v="3964"/>
    <n v="378"/>
    <n v="246766"/>
    <n v="3586"/>
    <n v="13.6355899921383"/>
    <n v="23109"/>
  </r>
  <r>
    <x v="6"/>
    <x v="1"/>
    <n v="8137"/>
    <n v="1045"/>
    <n v="253858"/>
    <n v="7092"/>
    <n v="20.47246886054408"/>
    <n v="12023"/>
  </r>
  <r>
    <x v="6"/>
    <x v="2"/>
    <n v="1963"/>
    <n v="137"/>
    <n v="255684"/>
    <n v="1826"/>
    <n v="11.2083665774941"/>
    <n v="24537"/>
  </r>
  <r>
    <x v="6"/>
    <x v="0"/>
    <n v="1536"/>
    <n v="155"/>
    <n v="257065"/>
    <n v="1381"/>
    <n v="12.15762550327738"/>
    <n v="36661"/>
  </r>
  <r>
    <x v="7"/>
    <x v="3"/>
    <n v="8340"/>
    <n v="911"/>
    <n v="264494"/>
    <n v="7429"/>
    <n v="37.302925586213682"/>
    <n v="48659"/>
  </r>
  <r>
    <x v="7"/>
    <x v="1"/>
    <n v="8179"/>
    <n v="446"/>
    <n v="272227"/>
    <n v="7733"/>
    <n v="41.82171496581897"/>
    <n v="43848"/>
  </r>
  <r>
    <x v="7"/>
    <x v="3"/>
    <n v="8967"/>
    <n v="993"/>
    <n v="280201"/>
    <n v="7974"/>
    <n v="52.792102811910027"/>
    <n v="47804"/>
  </r>
  <r>
    <x v="7"/>
    <x v="2"/>
    <n v="9734"/>
    <n v="652"/>
    <n v="289283"/>
    <n v="9082"/>
    <n v="49.647922622483861"/>
    <n v="25379"/>
  </r>
  <r>
    <x v="8"/>
    <x v="3"/>
    <n v="1845"/>
    <n v="104"/>
    <n v="291024"/>
    <n v="1741"/>
    <n v="28.158158777282971"/>
    <n v="37766"/>
  </r>
  <r>
    <x v="8"/>
    <x v="3"/>
    <n v="6777"/>
    <n v="981"/>
    <n v="296820"/>
    <n v="5796"/>
    <n v="23.920557913887201"/>
    <n v="53590"/>
  </r>
  <r>
    <x v="8"/>
    <x v="2"/>
    <n v="4036"/>
    <n v="591"/>
    <n v="300265"/>
    <n v="3445"/>
    <n v="44.219272975538267"/>
    <n v="12563"/>
  </r>
  <r>
    <x v="8"/>
    <x v="1"/>
    <n v="6947"/>
    <n v="908"/>
    <n v="306304"/>
    <n v="6039"/>
    <n v="14.117673944839121"/>
    <n v="46060"/>
  </r>
  <r>
    <x v="9"/>
    <x v="0"/>
    <n v="3494"/>
    <n v="281"/>
    <n v="309517"/>
    <n v="3213"/>
    <n v="27.765518533715429"/>
    <n v="39197"/>
  </r>
  <r>
    <x v="9"/>
    <x v="1"/>
    <n v="3719"/>
    <n v="222"/>
    <n v="313014"/>
    <n v="3497"/>
    <n v="21.669318305251519"/>
    <n v="13586"/>
  </r>
  <r>
    <x v="9"/>
    <x v="2"/>
    <n v="2884"/>
    <n v="341"/>
    <n v="315557"/>
    <n v="2543"/>
    <n v="46.999749649033298"/>
    <n v="26087"/>
  </r>
  <r>
    <x v="9"/>
    <x v="3"/>
    <n v="5349"/>
    <n v="502"/>
    <n v="320404"/>
    <n v="4847"/>
    <n v="5.2152906954969351"/>
    <n v="58868"/>
  </r>
  <r>
    <x v="10"/>
    <x v="1"/>
    <n v="6179"/>
    <n v="384"/>
    <n v="326199"/>
    <n v="5795"/>
    <n v="14.71218489327067"/>
    <n v="33225"/>
  </r>
  <r>
    <x v="10"/>
    <x v="0"/>
    <n v="7610"/>
    <n v="757"/>
    <n v="333052"/>
    <n v="6853"/>
    <n v="44.450416151231643"/>
    <n v="39750"/>
  </r>
  <r>
    <x v="10"/>
    <x v="2"/>
    <n v="7430"/>
    <n v="397"/>
    <n v="340085"/>
    <n v="7033"/>
    <n v="28.065042562888689"/>
    <n v="16643"/>
  </r>
  <r>
    <x v="10"/>
    <x v="1"/>
    <n v="8154"/>
    <n v="1149"/>
    <n v="347090"/>
    <n v="7005"/>
    <n v="26.003918292085629"/>
    <n v="37523"/>
  </r>
  <r>
    <x v="11"/>
    <x v="0"/>
    <n v="7488"/>
    <n v="568"/>
    <n v="354010"/>
    <n v="6920"/>
    <n v="13.47730290104799"/>
    <n v="46727"/>
  </r>
  <r>
    <x v="11"/>
    <x v="2"/>
    <n v="5737"/>
    <n v="666"/>
    <n v="359081"/>
    <n v="5071"/>
    <n v="4.6034181702735593"/>
    <n v="21005"/>
  </r>
  <r>
    <x v="11"/>
    <x v="0"/>
    <n v="7525"/>
    <n v="610"/>
    <n v="365996"/>
    <n v="6915"/>
    <n v="5.7694619613329108"/>
    <n v="53543"/>
  </r>
  <r>
    <x v="11"/>
    <x v="2"/>
    <n v="4850"/>
    <n v="494"/>
    <n v="370352"/>
    <n v="4356"/>
    <n v="20.46539508359615"/>
    <n v="10161"/>
  </r>
  <r>
    <x v="12"/>
    <x v="3"/>
    <n v="1689"/>
    <n v="176"/>
    <n v="371865"/>
    <n v="1513"/>
    <n v="38.012181840183942"/>
    <n v="26029"/>
  </r>
  <r>
    <x v="12"/>
    <x v="1"/>
    <n v="6175"/>
    <n v="422"/>
    <n v="377618"/>
    <n v="5753"/>
    <n v="37.86101298137271"/>
    <n v="59745"/>
  </r>
  <r>
    <x v="12"/>
    <x v="0"/>
    <n v="9648"/>
    <n v="1417"/>
    <n v="385849"/>
    <n v="8231"/>
    <n v="3.6633501706626168"/>
    <n v="24226"/>
  </r>
  <r>
    <x v="12"/>
    <x v="2"/>
    <n v="6078"/>
    <n v="775"/>
    <n v="391152"/>
    <n v="5303"/>
    <n v="37.760512537325639"/>
    <n v="38731"/>
  </r>
  <r>
    <x v="13"/>
    <x v="0"/>
    <n v="6448"/>
    <n v="928"/>
    <n v="396672"/>
    <n v="5520"/>
    <n v="30.118586640851881"/>
    <n v="53922"/>
  </r>
  <r>
    <x v="13"/>
    <x v="0"/>
    <n v="2179"/>
    <n v="303"/>
    <n v="398548"/>
    <n v="1876"/>
    <n v="33.909842729106657"/>
    <n v="54848"/>
  </r>
  <r>
    <x v="13"/>
    <x v="1"/>
    <n v="7406"/>
    <n v="813"/>
    <n v="405141"/>
    <n v="6593"/>
    <n v="24.457411123534769"/>
    <n v="13390"/>
  </r>
  <r>
    <x v="13"/>
    <x v="3"/>
    <n v="9591"/>
    <n v="1363"/>
    <n v="413369"/>
    <n v="8228"/>
    <n v="10.494255737609739"/>
    <n v="15997"/>
  </r>
  <r>
    <x v="14"/>
    <x v="0"/>
    <n v="7907"/>
    <n v="465"/>
    <n v="420811"/>
    <n v="7442"/>
    <n v="33.257448118038738"/>
    <n v="22693"/>
  </r>
  <r>
    <x v="14"/>
    <x v="2"/>
    <n v="9800"/>
    <n v="682"/>
    <n v="429929"/>
    <n v="9118"/>
    <n v="6.2966210699906267"/>
    <n v="59815"/>
  </r>
  <r>
    <x v="14"/>
    <x v="2"/>
    <n v="2638"/>
    <n v="143"/>
    <n v="432424"/>
    <n v="2495"/>
    <n v="6.9547481175882924"/>
    <n v="52092"/>
  </r>
  <r>
    <x v="14"/>
    <x v="3"/>
    <n v="6671"/>
    <n v="550"/>
    <n v="438545"/>
    <n v="6121"/>
    <n v="17.750287883797562"/>
    <n v="10541"/>
  </r>
  <r>
    <x v="15"/>
    <x v="2"/>
    <n v="7928"/>
    <n v="704"/>
    <n v="445769"/>
    <n v="7224"/>
    <n v="11.194362999670229"/>
    <n v="31817"/>
  </r>
  <r>
    <x v="15"/>
    <x v="3"/>
    <n v="2382"/>
    <n v="183"/>
    <n v="447968"/>
    <n v="2199"/>
    <n v="4.7335970426459033"/>
    <n v="47861"/>
  </r>
  <r>
    <x v="15"/>
    <x v="2"/>
    <n v="2403"/>
    <n v="319"/>
    <n v="450052"/>
    <n v="2084"/>
    <n v="29.92120910472568"/>
    <n v="23428"/>
  </r>
  <r>
    <x v="15"/>
    <x v="1"/>
    <n v="4292"/>
    <n v="367"/>
    <n v="453977"/>
    <n v="3925"/>
    <n v="3.5037017293827661"/>
    <n v="53934"/>
  </r>
  <r>
    <x v="16"/>
    <x v="0"/>
    <n v="1419"/>
    <n v="110"/>
    <n v="455286"/>
    <n v="1309"/>
    <n v="31.554451487636339"/>
    <n v="58831"/>
  </r>
  <r>
    <x v="16"/>
    <x v="1"/>
    <n v="5517"/>
    <n v="575"/>
    <n v="460228"/>
    <n v="4942"/>
    <n v="29.45844233727631"/>
    <n v="20258"/>
  </r>
  <r>
    <x v="16"/>
    <x v="0"/>
    <n v="4302"/>
    <n v="275"/>
    <n v="464255"/>
    <n v="4027"/>
    <n v="15.72131694865968"/>
    <n v="26044"/>
  </r>
  <r>
    <x v="16"/>
    <x v="0"/>
    <n v="8857"/>
    <n v="1153"/>
    <n v="471959"/>
    <n v="7704"/>
    <n v="19.214592793018038"/>
    <n v="39411"/>
  </r>
  <r>
    <x v="17"/>
    <x v="0"/>
    <n v="8870"/>
    <n v="509"/>
    <n v="480320"/>
    <n v="8361"/>
    <n v="25.077864756828781"/>
    <n v="15469"/>
  </r>
  <r>
    <x v="17"/>
    <x v="1"/>
    <n v="6693"/>
    <n v="995"/>
    <n v="486018"/>
    <n v="5698"/>
    <n v="23.761877132122681"/>
    <n v="38854"/>
  </r>
  <r>
    <x v="17"/>
    <x v="0"/>
    <n v="1767"/>
    <n v="224"/>
    <n v="487561"/>
    <n v="1543"/>
    <n v="13.208603641390511"/>
    <n v="16256"/>
  </r>
  <r>
    <x v="17"/>
    <x v="1"/>
    <n v="3044"/>
    <n v="212"/>
    <n v="490393"/>
    <n v="2832"/>
    <n v="8.5343795690395261"/>
    <n v="20720"/>
  </r>
  <r>
    <x v="18"/>
    <x v="3"/>
    <n v="2549"/>
    <n v="128"/>
    <n v="492814"/>
    <n v="2421"/>
    <n v="12.734216154573531"/>
    <n v="43937"/>
  </r>
  <r>
    <x v="18"/>
    <x v="2"/>
    <n v="7140"/>
    <n v="939"/>
    <n v="499015"/>
    <n v="6201"/>
    <n v="25.120888149654821"/>
    <n v="43598"/>
  </r>
  <r>
    <x v="18"/>
    <x v="2"/>
    <n v="4716"/>
    <n v="569"/>
    <n v="503162"/>
    <n v="4147"/>
    <n v="25.64820077827817"/>
    <n v="11651"/>
  </r>
  <r>
    <x v="18"/>
    <x v="0"/>
    <n v="5481"/>
    <n v="673"/>
    <n v="507970"/>
    <n v="4808"/>
    <n v="13.08758391243577"/>
    <n v="29194"/>
  </r>
  <r>
    <x v="19"/>
    <x v="1"/>
    <n v="8898"/>
    <n v="1131"/>
    <n v="515737"/>
    <n v="7767"/>
    <n v="2.1877429775253669"/>
    <n v="35051"/>
  </r>
  <r>
    <x v="19"/>
    <x v="2"/>
    <n v="7548"/>
    <n v="433"/>
    <n v="522852"/>
    <n v="7115"/>
    <n v="8.3562843787534522"/>
    <n v="37386"/>
  </r>
  <r>
    <x v="19"/>
    <x v="1"/>
    <n v="3293"/>
    <n v="282"/>
    <n v="525863"/>
    <n v="3011"/>
    <n v="27.040693108281051"/>
    <n v="19518"/>
  </r>
  <r>
    <x v="19"/>
    <x v="1"/>
    <n v="5837"/>
    <n v="359"/>
    <n v="531341"/>
    <n v="5478"/>
    <n v="6.8073045370110723"/>
    <n v="56026"/>
  </r>
  <r>
    <x v="20"/>
    <x v="0"/>
    <n v="8758"/>
    <n v="1193"/>
    <n v="538906"/>
    <n v="7565"/>
    <n v="3.4213758985797149"/>
    <n v="26184"/>
  </r>
  <r>
    <x v="20"/>
    <x v="2"/>
    <n v="7793"/>
    <n v="875"/>
    <n v="545824"/>
    <n v="6918"/>
    <n v="5.5136820660139527"/>
    <n v="43787"/>
  </r>
  <r>
    <x v="20"/>
    <x v="0"/>
    <n v="8638"/>
    <n v="717"/>
    <n v="553745"/>
    <n v="7921"/>
    <n v="26.921416897669499"/>
    <n v="31621"/>
  </r>
  <r>
    <x v="20"/>
    <x v="0"/>
    <n v="8993"/>
    <n v="506"/>
    <n v="562232"/>
    <n v="8487"/>
    <n v="3.5131404829323132"/>
    <n v="20028"/>
  </r>
  <r>
    <x v="21"/>
    <x v="2"/>
    <n v="7007"/>
    <n v="568"/>
    <n v="568671"/>
    <n v="6439"/>
    <n v="11.50507059442103"/>
    <n v="22448"/>
  </r>
  <r>
    <x v="21"/>
    <x v="2"/>
    <n v="6542"/>
    <n v="539"/>
    <n v="574674"/>
    <n v="6003"/>
    <n v="6.4069368024305948"/>
    <n v="55253"/>
  </r>
  <r>
    <x v="21"/>
    <x v="3"/>
    <n v="7356"/>
    <n v="904"/>
    <n v="581126"/>
    <n v="6452"/>
    <n v="17.560907617280929"/>
    <n v="44051"/>
  </r>
  <r>
    <x v="21"/>
    <x v="3"/>
    <n v="9433"/>
    <n v="1073"/>
    <n v="589486"/>
    <n v="8360"/>
    <n v="7.2934726185185053"/>
    <n v="59811"/>
  </r>
  <r>
    <x v="22"/>
    <x v="1"/>
    <n v="8380"/>
    <n v="1162"/>
    <n v="596704"/>
    <n v="7218"/>
    <n v="18.05853488496809"/>
    <n v="40447"/>
  </r>
  <r>
    <x v="22"/>
    <x v="2"/>
    <n v="3385"/>
    <n v="329"/>
    <n v="599760"/>
    <n v="3056"/>
    <n v="17.61788048552755"/>
    <n v="28394"/>
  </r>
  <r>
    <x v="22"/>
    <x v="3"/>
    <n v="5268"/>
    <n v="326"/>
    <n v="604702"/>
    <n v="4942"/>
    <n v="23.435841125050029"/>
    <n v="44501"/>
  </r>
  <r>
    <x v="22"/>
    <x v="1"/>
    <n v="1671"/>
    <n v="202"/>
    <n v="606171"/>
    <n v="1469"/>
    <n v="15.150015424690389"/>
    <n v="40254"/>
  </r>
  <r>
    <x v="23"/>
    <x v="1"/>
    <n v="1163"/>
    <n v="146"/>
    <n v="607188"/>
    <n v="1017"/>
    <n v="21.77776899411715"/>
    <n v="28509"/>
  </r>
  <r>
    <x v="23"/>
    <x v="1"/>
    <n v="9656"/>
    <n v="1024"/>
    <n v="615820"/>
    <n v="8632"/>
    <n v="8.7252768666168681"/>
    <n v="58998"/>
  </r>
  <r>
    <x v="23"/>
    <x v="3"/>
    <n v="5592"/>
    <n v="710"/>
    <n v="620702"/>
    <n v="4882"/>
    <n v="9.07118069540617"/>
    <n v="24472"/>
  </r>
  <r>
    <x v="23"/>
    <x v="2"/>
    <n v="5795"/>
    <n v="575"/>
    <n v="625922"/>
    <n v="5220"/>
    <n v="3.0908004511744269"/>
    <n v="55657"/>
  </r>
  <r>
    <x v="24"/>
    <x v="0"/>
    <n v="5798"/>
    <n v="592"/>
    <n v="631128"/>
    <n v="5206"/>
    <n v="1.6774727155188811"/>
    <n v="13471"/>
  </r>
  <r>
    <x v="24"/>
    <x v="1"/>
    <n v="7036"/>
    <n v="652"/>
    <n v="637512"/>
    <n v="6384"/>
    <n v="3.5705994553828009"/>
    <n v="51796"/>
  </r>
  <r>
    <x v="24"/>
    <x v="3"/>
    <n v="3355"/>
    <n v="176"/>
    <n v="640691"/>
    <n v="3179"/>
    <n v="12.426427091999111"/>
    <n v="40268"/>
  </r>
  <r>
    <x v="24"/>
    <x v="3"/>
    <n v="6887"/>
    <n v="418"/>
    <n v="647160"/>
    <n v="6469"/>
    <n v="20.240280610668151"/>
    <n v="18329"/>
  </r>
  <r>
    <x v="25"/>
    <x v="0"/>
    <n v="8961"/>
    <n v="476"/>
    <n v="655645"/>
    <n v="8485"/>
    <n v="15.458517947974901"/>
    <n v="44865"/>
  </r>
  <r>
    <x v="25"/>
    <x v="0"/>
    <n v="6827"/>
    <n v="775"/>
    <n v="661697"/>
    <n v="6052"/>
    <n v="15.96622018839439"/>
    <n v="56850"/>
  </r>
  <r>
    <x v="25"/>
    <x v="3"/>
    <n v="9737"/>
    <n v="792"/>
    <n v="670642"/>
    <n v="8945"/>
    <n v="5.301785453341723"/>
    <n v="56698"/>
  </r>
  <r>
    <x v="25"/>
    <x v="2"/>
    <n v="5719"/>
    <n v="576"/>
    <n v="675785"/>
    <n v="5143"/>
    <n v="10.21656296011305"/>
    <n v="38272"/>
  </r>
  <r>
    <x v="26"/>
    <x v="0"/>
    <n v="1593"/>
    <n v="224"/>
    <n v="677154"/>
    <n v="1369"/>
    <n v="4.1495730660972248"/>
    <n v="52845"/>
  </r>
  <r>
    <x v="26"/>
    <x v="3"/>
    <n v="5839"/>
    <n v="437"/>
    <n v="682556"/>
    <n v="5402"/>
    <n v="17.44750613869045"/>
    <n v="16397"/>
  </r>
  <r>
    <x v="26"/>
    <x v="0"/>
    <n v="8394"/>
    <n v="764"/>
    <n v="690186"/>
    <n v="7630"/>
    <n v="6.3556780346167558"/>
    <n v="42373"/>
  </r>
  <r>
    <x v="26"/>
    <x v="2"/>
    <n v="4493"/>
    <n v="564"/>
    <n v="694115"/>
    <n v="3929"/>
    <n v="16.625487131094989"/>
    <n v="45525"/>
  </r>
  <r>
    <x v="27"/>
    <x v="1"/>
    <n v="7164"/>
    <n v="522"/>
    <n v="700757"/>
    <n v="6642"/>
    <n v="13.449169969047761"/>
    <n v="34570"/>
  </r>
  <r>
    <x v="27"/>
    <x v="0"/>
    <n v="3672"/>
    <n v="211"/>
    <n v="704218"/>
    <n v="3461"/>
    <n v="12.35057894004413"/>
    <n v="28284"/>
  </r>
  <r>
    <x v="27"/>
    <x v="2"/>
    <n v="5200"/>
    <n v="410"/>
    <n v="709008"/>
    <n v="4790"/>
    <n v="12.913394489201821"/>
    <n v="28994"/>
  </r>
  <r>
    <x v="27"/>
    <x v="3"/>
    <n v="1016"/>
    <n v="67"/>
    <n v="709957"/>
    <n v="949"/>
    <n v="20.774215903216671"/>
    <n v="33284"/>
  </r>
  <r>
    <x v="28"/>
    <x v="0"/>
    <n v="4191"/>
    <n v="599"/>
    <n v="713549"/>
    <n v="3592"/>
    <n v="11.56416728213479"/>
    <n v="27833"/>
  </r>
  <r>
    <x v="28"/>
    <x v="0"/>
    <n v="1392"/>
    <n v="182"/>
    <n v="714759"/>
    <n v="1210"/>
    <n v="5.9603306848881932"/>
    <n v="35122"/>
  </r>
  <r>
    <x v="28"/>
    <x v="3"/>
    <n v="9616"/>
    <n v="1089"/>
    <n v="723286"/>
    <n v="8527"/>
    <n v="19.25863351426683"/>
    <n v="15017"/>
  </r>
  <r>
    <x v="28"/>
    <x v="1"/>
    <n v="7272"/>
    <n v="997"/>
    <n v="729561"/>
    <n v="6275"/>
    <n v="13.428486445958599"/>
    <n v="26370"/>
  </r>
  <r>
    <x v="29"/>
    <x v="3"/>
    <n v="1571"/>
    <n v="204"/>
    <n v="730928"/>
    <n v="1367"/>
    <n v="19.449384891535139"/>
    <n v="39252"/>
  </r>
  <r>
    <x v="29"/>
    <x v="0"/>
    <n v="4631"/>
    <n v="317"/>
    <n v="735242"/>
    <n v="4314"/>
    <n v="1.381177897889402"/>
    <n v="17999"/>
  </r>
  <r>
    <x v="29"/>
    <x v="3"/>
    <n v="7172"/>
    <n v="998"/>
    <n v="741416"/>
    <n v="6174"/>
    <n v="18.0667803230575"/>
    <n v="32436"/>
  </r>
  <r>
    <x v="29"/>
    <x v="2"/>
    <n v="8177"/>
    <n v="849"/>
    <n v="748744"/>
    <n v="7328"/>
    <n v="10.34986590877523"/>
    <n v="52963"/>
  </r>
  <r>
    <x v="30"/>
    <x v="3"/>
    <n v="9433"/>
    <n v="1233"/>
    <n v="756944"/>
    <n v="8200"/>
    <n v="11.391727789638329"/>
    <n v="12096"/>
  </r>
  <r>
    <x v="30"/>
    <x v="0"/>
    <n v="4897"/>
    <n v="683"/>
    <n v="761158"/>
    <n v="4214"/>
    <n v="15.06231294947961"/>
    <n v="58201"/>
  </r>
  <r>
    <x v="30"/>
    <x v="3"/>
    <n v="9123"/>
    <n v="746"/>
    <n v="769535"/>
    <n v="8377"/>
    <n v="6.3086149427901264"/>
    <n v="35279"/>
  </r>
  <r>
    <x v="30"/>
    <x v="1"/>
    <n v="3279"/>
    <n v="200"/>
    <n v="772614"/>
    <n v="3079"/>
    <n v="5.0212654702089274"/>
    <n v="53363"/>
  </r>
  <r>
    <x v="31"/>
    <x v="3"/>
    <n v="9980"/>
    <n v="726"/>
    <n v="781868"/>
    <n v="9254"/>
    <n v="4.0220344099003924"/>
    <n v="58709"/>
  </r>
  <r>
    <x v="31"/>
    <x v="1"/>
    <n v="8451"/>
    <n v="783"/>
    <n v="789536"/>
    <n v="7668"/>
    <n v="12.407287318121019"/>
    <n v="36201"/>
  </r>
  <r>
    <x v="31"/>
    <x v="2"/>
    <n v="9906"/>
    <n v="1305"/>
    <n v="798137"/>
    <n v="8601"/>
    <n v="9.1811305577864442"/>
    <n v="29715"/>
  </r>
  <r>
    <x v="31"/>
    <x v="1"/>
    <n v="1775"/>
    <n v="241"/>
    <n v="799671"/>
    <n v="1534"/>
    <n v="8.1379717408784362"/>
    <n v="39309"/>
  </r>
  <r>
    <x v="32"/>
    <x v="3"/>
    <n v="7869"/>
    <n v="398"/>
    <n v="807142"/>
    <n v="7471"/>
    <n v="15.211945357818079"/>
    <n v="25078"/>
  </r>
  <r>
    <x v="32"/>
    <x v="0"/>
    <n v="3247"/>
    <n v="328"/>
    <n v="810061"/>
    <n v="2919"/>
    <n v="13.941172331466399"/>
    <n v="15105"/>
  </r>
  <r>
    <x v="32"/>
    <x v="1"/>
    <n v="8088"/>
    <n v="742"/>
    <n v="817407"/>
    <n v="7346"/>
    <n v="14.664542877660701"/>
    <n v="39312"/>
  </r>
  <r>
    <x v="32"/>
    <x v="2"/>
    <n v="1078"/>
    <n v="77"/>
    <n v="818408"/>
    <n v="1001"/>
    <n v="18.236747441373989"/>
    <n v="12839"/>
  </r>
  <r>
    <x v="33"/>
    <x v="1"/>
    <n v="9080"/>
    <n v="562"/>
    <n v="826926"/>
    <n v="8518"/>
    <n v="7.1083748727213809"/>
    <n v="13384"/>
  </r>
  <r>
    <x v="33"/>
    <x v="1"/>
    <n v="8099"/>
    <n v="678"/>
    <n v="834347"/>
    <n v="7421"/>
    <n v="7.6464588474579518"/>
    <n v="53619"/>
  </r>
  <r>
    <x v="33"/>
    <x v="1"/>
    <n v="4926"/>
    <n v="710"/>
    <n v="838563"/>
    <n v="4216"/>
    <n v="12.96217457722318"/>
    <n v="52821"/>
  </r>
  <r>
    <x v="33"/>
    <x v="2"/>
    <n v="8340"/>
    <n v="686"/>
    <n v="846217"/>
    <n v="7654"/>
    <n v="7.201344336027284"/>
    <n v="23493"/>
  </r>
  <r>
    <x v="34"/>
    <x v="3"/>
    <n v="8083"/>
    <n v="823"/>
    <n v="853477"/>
    <n v="7260"/>
    <n v="4.6300017457998282"/>
    <n v="27069"/>
  </r>
  <r>
    <x v="34"/>
    <x v="1"/>
    <n v="7230"/>
    <n v="869"/>
    <n v="859838"/>
    <n v="6361"/>
    <n v="7.0117859410726204"/>
    <n v="56907"/>
  </r>
  <r>
    <x v="34"/>
    <x v="1"/>
    <n v="5940"/>
    <n v="512"/>
    <n v="865266"/>
    <n v="5428"/>
    <n v="15.7972230504839"/>
    <n v="17531"/>
  </r>
  <r>
    <x v="34"/>
    <x v="0"/>
    <n v="4271"/>
    <n v="628"/>
    <n v="868909"/>
    <n v="3643"/>
    <n v="11.124410036033691"/>
    <n v="47051"/>
  </r>
  <r>
    <x v="35"/>
    <x v="2"/>
    <n v="4456"/>
    <n v="651"/>
    <n v="872714"/>
    <n v="3805"/>
    <n v="9.5052903929580594"/>
    <n v="17736"/>
  </r>
  <r>
    <x v="35"/>
    <x v="1"/>
    <n v="8788"/>
    <n v="660"/>
    <n v="880842"/>
    <n v="8128"/>
    <n v="3.7175793161543158"/>
    <n v="17710"/>
  </r>
  <r>
    <x v="35"/>
    <x v="2"/>
    <n v="9599"/>
    <n v="957"/>
    <n v="889484"/>
    <n v="8642"/>
    <n v="8.768004820772493"/>
    <n v="11619"/>
  </r>
  <r>
    <x v="35"/>
    <x v="1"/>
    <n v="8650"/>
    <n v="692"/>
    <n v="897442"/>
    <n v="7958"/>
    <n v="7.6673478620345374"/>
    <n v="23975"/>
  </r>
  <r>
    <x v="36"/>
    <x v="3"/>
    <n v="3711"/>
    <n v="291"/>
    <n v="900862"/>
    <n v="3420"/>
    <n v="14.24879726306582"/>
    <n v="55603"/>
  </r>
  <r>
    <x v="36"/>
    <x v="3"/>
    <n v="2668"/>
    <n v="143"/>
    <n v="903387"/>
    <n v="2525"/>
    <n v="15.903372530266649"/>
    <n v="33252"/>
  </r>
  <r>
    <x v="36"/>
    <x v="1"/>
    <n v="1147"/>
    <n v="127"/>
    <n v="904407"/>
    <n v="1020"/>
    <n v="1.3997016829812241"/>
    <n v="25261"/>
  </r>
  <r>
    <x v="36"/>
    <x v="3"/>
    <n v="7420"/>
    <n v="743"/>
    <n v="911084"/>
    <n v="6677"/>
    <n v="10.593534734448189"/>
    <n v="11431"/>
  </r>
  <r>
    <x v="37"/>
    <x v="1"/>
    <n v="1365"/>
    <n v="75"/>
    <n v="912374"/>
    <n v="1290"/>
    <n v="9.2688963078737441"/>
    <n v="19067"/>
  </r>
  <r>
    <x v="37"/>
    <x v="3"/>
    <n v="5531"/>
    <n v="430"/>
    <n v="917475"/>
    <n v="5101"/>
    <n v="2.7289026948963189"/>
    <n v="47481"/>
  </r>
  <r>
    <x v="37"/>
    <x v="0"/>
    <n v="6330"/>
    <n v="891"/>
    <n v="922914"/>
    <n v="5439"/>
    <n v="14.789893749580139"/>
    <n v="37037"/>
  </r>
  <r>
    <x v="37"/>
    <x v="0"/>
    <n v="6510"/>
    <n v="481"/>
    <n v="928943"/>
    <n v="6029"/>
    <n v="2.3800168578696428"/>
    <n v="19557"/>
  </r>
  <r>
    <x v="38"/>
    <x v="0"/>
    <n v="9754"/>
    <n v="629"/>
    <n v="938068"/>
    <n v="9125"/>
    <n v="3.4123325814333292"/>
    <n v="19435"/>
  </r>
  <r>
    <x v="38"/>
    <x v="2"/>
    <n v="9964"/>
    <n v="985"/>
    <n v="947047"/>
    <n v="8979"/>
    <n v="1.9837452629066989"/>
    <n v="47766"/>
  </r>
  <r>
    <x v="38"/>
    <x v="2"/>
    <n v="7493"/>
    <n v="1113"/>
    <n v="953427"/>
    <n v="6380"/>
    <n v="15.684892498324469"/>
    <n v="10162"/>
  </r>
  <r>
    <x v="38"/>
    <x v="0"/>
    <n v="6439"/>
    <n v="477"/>
    <n v="959389"/>
    <n v="5962"/>
    <n v="7.4744446725989153"/>
    <n v="44742"/>
  </r>
  <r>
    <x v="39"/>
    <x v="2"/>
    <n v="7511"/>
    <n v="880"/>
    <n v="966020"/>
    <n v="6631"/>
    <n v="4.6083932009689246"/>
    <n v="29675"/>
  </r>
  <r>
    <x v="39"/>
    <x v="3"/>
    <n v="8504"/>
    <n v="1072"/>
    <n v="973452"/>
    <n v="7432"/>
    <n v="6.5651927367759271"/>
    <n v="18461"/>
  </r>
  <r>
    <x v="39"/>
    <x v="1"/>
    <n v="2246"/>
    <n v="165"/>
    <n v="975533"/>
    <n v="2081"/>
    <n v="2.9062061457685191"/>
    <n v="27015"/>
  </r>
  <r>
    <x v="39"/>
    <x v="1"/>
    <n v="4839"/>
    <n v="594"/>
    <n v="979778"/>
    <n v="4245"/>
    <n v="2.5803804535313102"/>
    <n v="42591"/>
  </r>
  <r>
    <x v="40"/>
    <x v="1"/>
    <n v="9551"/>
    <n v="828"/>
    <n v="988501"/>
    <n v="8723"/>
    <n v="1.525036393488727"/>
    <n v="38047"/>
  </r>
  <r>
    <x v="40"/>
    <x v="0"/>
    <n v="3376"/>
    <n v="382"/>
    <n v="991495"/>
    <n v="2994"/>
    <n v="3.8694093263203548"/>
    <n v="44782"/>
  </r>
  <r>
    <x v="40"/>
    <x v="2"/>
    <n v="4009"/>
    <n v="454"/>
    <n v="995050"/>
    <n v="3555"/>
    <n v="2.1106477061454201"/>
    <n v="19833"/>
  </r>
  <r>
    <x v="40"/>
    <x v="3"/>
    <n v="2827"/>
    <n v="292"/>
    <n v="997585"/>
    <n v="2535"/>
    <n v="2.4004972007397871"/>
    <n v="17896"/>
  </r>
  <r>
    <x v="41"/>
    <x v="3"/>
    <n v="7979"/>
    <n v="470"/>
    <n v="1005094"/>
    <n v="7509"/>
    <n v="10.43086517280971"/>
    <n v="42972"/>
  </r>
  <r>
    <x v="41"/>
    <x v="0"/>
    <n v="9569"/>
    <n v="1277"/>
    <n v="1013386"/>
    <n v="8292"/>
    <n v="12.45517502708741"/>
    <n v="59733"/>
  </r>
  <r>
    <x v="41"/>
    <x v="3"/>
    <n v="5285"/>
    <n v="433"/>
    <n v="1018238"/>
    <n v="4852"/>
    <n v="8.7022876773406619"/>
    <n v="51800"/>
  </r>
  <r>
    <x v="41"/>
    <x v="3"/>
    <n v="7910"/>
    <n v="543"/>
    <n v="1025605"/>
    <n v="7367"/>
    <n v="6.0590578244060822"/>
    <n v="40508"/>
  </r>
  <r>
    <x v="42"/>
    <x v="3"/>
    <n v="9561"/>
    <n v="517"/>
    <n v="1034649"/>
    <n v="9044"/>
    <n v="6.4086467971263694"/>
    <n v="15347"/>
  </r>
  <r>
    <x v="42"/>
    <x v="3"/>
    <n v="3196"/>
    <n v="348"/>
    <n v="1037497"/>
    <n v="2848"/>
    <n v="14.03040201562029"/>
    <n v="40314"/>
  </r>
  <r>
    <x v="42"/>
    <x v="2"/>
    <n v="4747"/>
    <n v="558"/>
    <n v="1041686"/>
    <n v="4189"/>
    <n v="5.7680529449373434"/>
    <n v="12643"/>
  </r>
  <r>
    <x v="42"/>
    <x v="3"/>
    <n v="9843"/>
    <n v="508"/>
    <n v="1051021"/>
    <n v="9335"/>
    <n v="4.2080986012648651"/>
    <n v="50785"/>
  </r>
  <r>
    <x v="43"/>
    <x v="1"/>
    <n v="6978"/>
    <n v="706"/>
    <n v="1057293"/>
    <n v="6272"/>
    <n v="5.057443868445171"/>
    <n v="28681"/>
  </r>
  <r>
    <x v="43"/>
    <x v="0"/>
    <n v="6607"/>
    <n v="479"/>
    <n v="1063421"/>
    <n v="6128"/>
    <n v="5.5892257158735816"/>
    <n v="48328"/>
  </r>
  <r>
    <x v="43"/>
    <x v="2"/>
    <n v="1769"/>
    <n v="202"/>
    <n v="1064988"/>
    <n v="1567"/>
    <n v="6.5457075572682513"/>
    <n v="25892"/>
  </r>
  <r>
    <x v="43"/>
    <x v="3"/>
    <n v="1780"/>
    <n v="120"/>
    <n v="1066648"/>
    <n v="1660"/>
    <n v="13.86474263299608"/>
    <n v="57299"/>
  </r>
  <r>
    <x v="44"/>
    <x v="2"/>
    <n v="7303"/>
    <n v="869"/>
    <n v="1073082"/>
    <n v="6434"/>
    <n v="8.1237966902808925"/>
    <n v="27073"/>
  </r>
  <r>
    <x v="44"/>
    <x v="3"/>
    <n v="4983"/>
    <n v="441"/>
    <n v="1077624"/>
    <n v="4542"/>
    <n v="6.8954477628560609"/>
    <n v="46768"/>
  </r>
  <r>
    <x v="44"/>
    <x v="1"/>
    <n v="9714"/>
    <n v="1395"/>
    <n v="1085943"/>
    <n v="8319"/>
    <n v="5.2243073531483697"/>
    <n v="40682"/>
  </r>
  <r>
    <x v="44"/>
    <x v="0"/>
    <n v="1521"/>
    <n v="96"/>
    <n v="1087368"/>
    <n v="1425"/>
    <n v="12.709772588488899"/>
    <n v="42262"/>
  </r>
  <r>
    <x v="45"/>
    <x v="3"/>
    <n v="8569"/>
    <n v="720"/>
    <n v="1095217"/>
    <n v="7849"/>
    <n v="9.589697749395782"/>
    <n v="41358"/>
  </r>
  <r>
    <x v="45"/>
    <x v="3"/>
    <n v="6784"/>
    <n v="416"/>
    <n v="1101585"/>
    <n v="6368"/>
    <n v="9.3041390360253633"/>
    <n v="24289"/>
  </r>
  <r>
    <x v="45"/>
    <x v="3"/>
    <n v="5583"/>
    <n v="795"/>
    <n v="1106373"/>
    <n v="4788"/>
    <n v="12.21550055903389"/>
    <n v="59823"/>
  </r>
  <r>
    <x v="45"/>
    <x v="3"/>
    <n v="6946"/>
    <n v="956"/>
    <n v="1112363"/>
    <n v="5990"/>
    <n v="1.64146056637986"/>
    <n v="17927"/>
  </r>
  <r>
    <x v="46"/>
    <x v="0"/>
    <n v="5941"/>
    <n v="450"/>
    <n v="1117854"/>
    <n v="5491"/>
    <n v="12.414411899944"/>
    <n v="58330"/>
  </r>
  <r>
    <x v="46"/>
    <x v="0"/>
    <n v="7267"/>
    <n v="842"/>
    <n v="1124279"/>
    <n v="6425"/>
    <n v="2.2102165031989389"/>
    <n v="11171"/>
  </r>
  <r>
    <x v="46"/>
    <x v="1"/>
    <n v="8128"/>
    <n v="1070"/>
    <n v="1131337"/>
    <n v="7058"/>
    <n v="8.1114645768679008"/>
    <n v="21918"/>
  </r>
  <r>
    <x v="46"/>
    <x v="0"/>
    <n v="3461"/>
    <n v="365"/>
    <n v="1134433"/>
    <n v="3096"/>
    <n v="10.23489267325616"/>
    <n v="51903"/>
  </r>
  <r>
    <x v="47"/>
    <x v="3"/>
    <n v="1685"/>
    <n v="173"/>
    <n v="1135945"/>
    <n v="1512"/>
    <n v="8.7776256772995165"/>
    <n v="49110"/>
  </r>
  <r>
    <x v="47"/>
    <x v="1"/>
    <n v="3160"/>
    <n v="234"/>
    <n v="1138871"/>
    <n v="2926"/>
    <n v="5.6959041015180816"/>
    <n v="21929"/>
  </r>
  <r>
    <x v="47"/>
    <x v="1"/>
    <n v="8031"/>
    <n v="476"/>
    <n v="1146426"/>
    <n v="7555"/>
    <n v="11.940413075069831"/>
    <n v="12539"/>
  </r>
  <r>
    <x v="47"/>
    <x v="1"/>
    <n v="6341"/>
    <n v="885"/>
    <n v="1151882"/>
    <n v="5456"/>
    <n v="6.3457020771224837"/>
    <n v="46727"/>
  </r>
  <r>
    <x v="48"/>
    <x v="3"/>
    <n v="1038"/>
    <n v="145"/>
    <n v="1152775"/>
    <n v="893"/>
    <n v="11.093752033137431"/>
    <n v="55951"/>
  </r>
  <r>
    <x v="48"/>
    <x v="2"/>
    <n v="5875"/>
    <n v="665"/>
    <n v="1157985"/>
    <n v="5210"/>
    <n v="6.9871371390821126"/>
    <n v="32669"/>
  </r>
  <r>
    <x v="48"/>
    <x v="3"/>
    <n v="2256"/>
    <n v="189"/>
    <n v="1160052"/>
    <n v="2067"/>
    <n v="2.8935771844710412"/>
    <n v="15432"/>
  </r>
  <r>
    <x v="48"/>
    <x v="0"/>
    <n v="8697"/>
    <n v="738"/>
    <n v="1168011"/>
    <n v="7959"/>
    <n v="3.8777032065622672"/>
    <n v="30644"/>
  </r>
  <r>
    <x v="49"/>
    <x v="0"/>
    <n v="3196"/>
    <n v="391"/>
    <n v="1170816"/>
    <n v="2805"/>
    <n v="7.2439221876024931"/>
    <n v="28745"/>
  </r>
  <r>
    <x v="49"/>
    <x v="3"/>
    <n v="8165"/>
    <n v="1140"/>
    <n v="1177841"/>
    <n v="7025"/>
    <n v="9.095964565675672"/>
    <n v="38228"/>
  </r>
  <r>
    <x v="49"/>
    <x v="3"/>
    <n v="1301"/>
    <n v="180"/>
    <n v="1178962"/>
    <n v="1121"/>
    <n v="5.2275645864752214"/>
    <n v="44521"/>
  </r>
  <r>
    <x v="49"/>
    <x v="1"/>
    <n v="8527"/>
    <n v="1091"/>
    <n v="1186398"/>
    <n v="7436"/>
    <n v="1.676081719625286"/>
    <n v="417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01A8C7-1ED6-4870-A333-2BE34EEA4DA2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F55" firstHeaderRow="1" firstDataRow="2" firstDataCol="1"/>
  <pivotFields count="11">
    <pivotField axis="axisRow" numFmtId="14" showAll="0" sortType="descending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0"/>
            </reference>
          </references>
        </pivotArea>
      </autoSortScope>
    </pivotField>
    <pivotField axis="axisCol" showAll="0" sortType="descending">
      <items count="5">
        <item x="2"/>
        <item x="1"/>
        <item x="3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0"/>
  </rowFields>
  <rowItems count="51">
    <i>
      <x/>
    </i>
    <i>
      <x v="38"/>
    </i>
    <i>
      <x v="35"/>
    </i>
    <i>
      <x v="21"/>
    </i>
    <i>
      <x v="14"/>
    </i>
    <i>
      <x v="18"/>
    </i>
    <i>
      <x v="11"/>
    </i>
    <i>
      <x v="15"/>
    </i>
    <i>
      <x v="7"/>
    </i>
    <i>
      <x v="3"/>
    </i>
    <i>
      <x v="31"/>
    </i>
    <i>
      <x v="33"/>
    </i>
    <i>
      <x v="1"/>
    </i>
    <i>
      <x v="29"/>
    </i>
    <i>
      <x v="19"/>
    </i>
    <i>
      <x v="10"/>
    </i>
    <i>
      <x v="20"/>
    </i>
    <i>
      <x v="39"/>
    </i>
    <i>
      <x v="44"/>
    </i>
    <i>
      <x v="12"/>
    </i>
    <i>
      <x v="23"/>
    </i>
    <i>
      <x v="48"/>
    </i>
    <i>
      <x v="25"/>
    </i>
    <i>
      <x v="27"/>
    </i>
    <i>
      <x v="42"/>
    </i>
    <i>
      <x v="26"/>
    </i>
    <i>
      <x v="40"/>
    </i>
    <i>
      <x v="8"/>
    </i>
    <i>
      <x v="22"/>
    </i>
    <i>
      <x v="9"/>
    </i>
    <i>
      <x v="6"/>
    </i>
    <i>
      <x v="43"/>
    </i>
    <i>
      <x v="32"/>
    </i>
    <i>
      <x v="45"/>
    </i>
    <i>
      <x v="16"/>
    </i>
    <i>
      <x v="37"/>
    </i>
    <i>
      <x v="17"/>
    </i>
    <i>
      <x v="2"/>
    </i>
    <i>
      <x v="34"/>
    </i>
    <i>
      <x v="41"/>
    </i>
    <i>
      <x v="4"/>
    </i>
    <i>
      <x v="36"/>
    </i>
    <i>
      <x v="5"/>
    </i>
    <i>
      <x v="28"/>
    </i>
    <i>
      <x v="46"/>
    </i>
    <i>
      <x v="47"/>
    </i>
    <i>
      <x v="13"/>
    </i>
    <i>
      <x v="30"/>
    </i>
    <i>
      <x v="49"/>
    </i>
    <i>
      <x v="24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     net followers gain" fld="5" baseField="0" baseItem="0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914145-BB35-4445-957B-CEC301A1DD63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F55" firstHeaderRow="1" firstDataRow="2" firstDataCol="1"/>
  <pivotFields count="11">
    <pivotField axis="axisRow" numFmtId="14" showAll="0" sortType="descending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0"/>
            </reference>
          </references>
        </pivotArea>
      </autoSortScope>
    </pivotField>
    <pivotField axis="axisCol" showAll="0" sortType="descending">
      <items count="5">
        <item x="2"/>
        <item x="1"/>
        <item x="3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0"/>
  </rowFields>
  <rowItems count="51">
    <i>
      <x/>
    </i>
    <i>
      <x v="38"/>
    </i>
    <i>
      <x v="35"/>
    </i>
    <i>
      <x v="21"/>
    </i>
    <i>
      <x v="14"/>
    </i>
    <i>
      <x v="18"/>
    </i>
    <i>
      <x v="11"/>
    </i>
    <i>
      <x v="15"/>
    </i>
    <i>
      <x v="7"/>
    </i>
    <i>
      <x v="3"/>
    </i>
    <i>
      <x v="31"/>
    </i>
    <i>
      <x v="33"/>
    </i>
    <i>
      <x v="1"/>
    </i>
    <i>
      <x v="29"/>
    </i>
    <i>
      <x v="19"/>
    </i>
    <i>
      <x v="10"/>
    </i>
    <i>
      <x v="20"/>
    </i>
    <i>
      <x v="39"/>
    </i>
    <i>
      <x v="44"/>
    </i>
    <i>
      <x v="12"/>
    </i>
    <i>
      <x v="23"/>
    </i>
    <i>
      <x v="48"/>
    </i>
    <i>
      <x v="25"/>
    </i>
    <i>
      <x v="27"/>
    </i>
    <i>
      <x v="42"/>
    </i>
    <i>
      <x v="26"/>
    </i>
    <i>
      <x v="40"/>
    </i>
    <i>
      <x v="8"/>
    </i>
    <i>
      <x v="22"/>
    </i>
    <i>
      <x v="9"/>
    </i>
    <i>
      <x v="6"/>
    </i>
    <i>
      <x v="43"/>
    </i>
    <i>
      <x v="32"/>
    </i>
    <i>
      <x v="45"/>
    </i>
    <i>
      <x v="16"/>
    </i>
    <i>
      <x v="37"/>
    </i>
    <i>
      <x v="17"/>
    </i>
    <i>
      <x v="2"/>
    </i>
    <i>
      <x v="34"/>
    </i>
    <i>
      <x v="41"/>
    </i>
    <i>
      <x v="4"/>
    </i>
    <i>
      <x v="36"/>
    </i>
    <i>
      <x v="5"/>
    </i>
    <i>
      <x v="28"/>
    </i>
    <i>
      <x v="46"/>
    </i>
    <i>
      <x v="47"/>
    </i>
    <i>
      <x v="13"/>
    </i>
    <i>
      <x v="30"/>
    </i>
    <i>
      <x v="49"/>
    </i>
    <i>
      <x v="24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     net followers gain" fld="5" baseField="0" baseItem="0"/>
  </dataFields>
  <conditionalFormats count="1">
    <conditionalFormat type="all" priority="1">
      <pivotAreas count="1">
        <pivotArea type="data" grandCol="1" collapsedLevelsAreSubtotals="1" fieldPosition="0">
          <references count="2">
            <reference field="4294967294" count="1" selected="0">
              <x v="0"/>
            </reference>
            <reference field="0" count="5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</reference>
          </references>
        </pivotArea>
      </pivotAreas>
    </conditionalFormat>
  </conditionalFormat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E7DFA6-5B4C-4C64-A7C0-8F7DA108AA15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F55" firstHeaderRow="1" firstDataRow="2" firstDataCol="1"/>
  <pivotFields count="11">
    <pivotField axis="axisRow"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Col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0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     net followers gain" fld="5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80CD91C-B6C1-426A-90E9-B6905B441020}" autoFormatId="16" applyNumberFormats="0" applyBorderFormats="0" applyFontFormats="0" applyPatternFormats="0" applyAlignmentFormats="0" applyWidthHeightFormats="0">
  <queryTableRefresh nextId="10">
    <queryTableFields count="8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5" name="Total_Followers" tableColumnId="5"/>
      <queryTableField id="9" dataBound="0" tableColumnId="9"/>
      <queryTableField id="6" name="Engagement_Rate" tableColumnId="6"/>
      <queryTableField id="7" name="Ad_Spend" tableColumnId="7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67F6C8-89E3-4147-A3B7-82A25EEC5448}" name="Table2" displayName="Table2" ref="A1:C201" totalsRowShown="0">
  <autoFilter ref="A1:C201" xr:uid="{8867F6C8-89E3-4147-A3B7-82A25EEC5448}"/>
  <tableColumns count="3">
    <tableColumn id="1" xr3:uid="{82C0B50B-DFA8-4F57-AC12-3032B98934C4}" name="Platform"/>
    <tableColumn id="2" xr3:uid="{43BDC715-74FE-4095-9B74-443D005EA61C}" name="     net followers gain"/>
    <tableColumn id="3" xr3:uid="{CA2D4F05-3517-4634-8A75-B1ABB8CB899F}" name="Ad_Spend"/>
  </tableColumns>
  <tableStyleInfo name="TableStyleDark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27678E0-1195-4294-BC9B-BCC74472F848}" name="Table3" displayName="Table3" ref="F1:H5" totalsRowShown="0" headerRowBorderDxfId="9" tableBorderDxfId="8" totalsRowBorderDxfId="7">
  <autoFilter ref="F1:H5" xr:uid="{427678E0-1195-4294-BC9B-BCC74472F848}"/>
  <tableColumns count="3">
    <tableColumn id="1" xr3:uid="{2007FB9C-3386-4A2E-9DA1-98CBCA207045}" name="Platform" dataDxfId="6"/>
    <tableColumn id="2" xr3:uid="{A200DFF1-EEE3-41AF-BB9F-DA26B0FCB7DC}" name="total net followers" dataDxfId="5">
      <calculatedColumnFormula>SUMIF(A:A,F2,B:B)</calculatedColumnFormula>
    </tableColumn>
    <tableColumn id="3" xr3:uid="{FEE40B5F-19B1-4886-BEBB-D5E381874177}" name="total ad spend" dataDxfId="4">
      <calculatedColumnFormula>SUMIF(A:A,F2,C:C)</calculatedColumnFormula>
    </tableColumn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61E239-444D-4EC9-A15D-8D78A9032C20}" name="Engagement_Summary" displayName="Engagement_Summary" ref="A1:H201" tableType="queryTable" totalsRowShown="0">
  <autoFilter ref="A1:H201" xr:uid="{7E61E239-444D-4EC9-A15D-8D78A9032C20}"/>
  <tableColumns count="8">
    <tableColumn id="1" xr3:uid="{917583E2-DC45-421B-BC09-4FC5943A7B9C}" uniqueName="1" name="Week_Start_Date" queryTableFieldId="1" dataDxfId="2"/>
    <tableColumn id="2" xr3:uid="{8A2F6F93-2A66-418D-9300-6F127E56B08D}" uniqueName="2" name="Platform" queryTableFieldId="2" dataDxfId="1"/>
    <tableColumn id="3" xr3:uid="{0283BAF0-4905-4E06-B45B-FFD19A7AFA6A}" uniqueName="3" name="New_Followers" queryTableFieldId="3"/>
    <tableColumn id="4" xr3:uid="{3952380C-ADA2-49C7-930B-BCB5E021C2DC}" uniqueName="4" name="Unfollows" queryTableFieldId="4"/>
    <tableColumn id="5" xr3:uid="{8E894017-9E11-4E7A-9718-D887EFCE64DD}" uniqueName="5" name="Total_Followers" queryTableFieldId="5"/>
    <tableColumn id="9" xr3:uid="{4E2CF979-7C75-4A3B-9481-796F5DFEE315}" uniqueName="9" name="     net followers gain" queryTableFieldId="9" dataDxfId="0">
      <calculatedColumnFormula>Engagement_Summary[[#This Row],[New_Followers]]-Engagement_Summary[[#This Row],[Unfollows]]</calculatedColumnFormula>
    </tableColumn>
    <tableColumn id="6" xr3:uid="{EADAE3F5-AC65-4BFD-A268-3DF05D0A0384}" uniqueName="6" name="Engagement_Rate" queryTableFieldId="6"/>
    <tableColumn id="7" xr3:uid="{D1836106-EE94-4676-999F-19A81F650A54}" uniqueName="7" name="Ad_Spend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DD061-394E-4F82-8BBA-7BAD7D326BBA}">
  <dimension ref="A1:N201"/>
  <sheetViews>
    <sheetView tabSelected="1" workbookViewId="0">
      <selection activeCell="N3" sqref="N3"/>
    </sheetView>
  </sheetViews>
  <sheetFormatPr defaultRowHeight="14.5" x14ac:dyDescent="0.35"/>
  <cols>
    <col min="1" max="1" width="10.26953125" bestFit="1" customWidth="1"/>
    <col min="2" max="2" width="19.7265625" bestFit="1" customWidth="1"/>
    <col min="3" max="3" width="11.453125" bestFit="1" customWidth="1"/>
    <col min="6" max="6" width="10.26953125" bestFit="1" customWidth="1"/>
    <col min="7" max="7" width="17.1796875" customWidth="1"/>
    <col min="8" max="8" width="14.1796875" customWidth="1"/>
  </cols>
  <sheetData>
    <row r="1" spans="1:14" x14ac:dyDescent="0.35">
      <c r="A1" t="s">
        <v>1</v>
      </c>
      <c r="B1" t="s">
        <v>11</v>
      </c>
      <c r="C1" t="s">
        <v>6</v>
      </c>
      <c r="F1" s="7" t="s">
        <v>1</v>
      </c>
      <c r="G1" s="8" t="s">
        <v>17</v>
      </c>
      <c r="H1" s="9" t="s">
        <v>18</v>
      </c>
    </row>
    <row r="2" spans="1:14" x14ac:dyDescent="0.35">
      <c r="A2" t="s">
        <v>7</v>
      </c>
      <c r="B2">
        <v>3777</v>
      </c>
      <c r="C2">
        <v>23944</v>
      </c>
      <c r="F2" s="5" t="s">
        <v>7</v>
      </c>
      <c r="G2" s="4">
        <f>SUMIF(A:A,F2,B:B)</f>
        <v>261862</v>
      </c>
      <c r="H2" s="6">
        <f>SUMIF(A:A,F2,C:C)</f>
        <v>1775883</v>
      </c>
    </row>
    <row r="3" spans="1:14" x14ac:dyDescent="0.35">
      <c r="A3" t="s">
        <v>8</v>
      </c>
      <c r="B3">
        <v>7432</v>
      </c>
      <c r="C3">
        <v>29873</v>
      </c>
      <c r="F3" s="5" t="s">
        <v>8</v>
      </c>
      <c r="G3" s="4">
        <f t="shared" ref="G3:G5" si="0">SUMIF(A:A,F3,B:B)</f>
        <v>303407</v>
      </c>
      <c r="H3" s="6">
        <f t="shared" ref="H3:H5" si="1">SUMIF(A:A,F3,C:C)</f>
        <v>1874083</v>
      </c>
      <c r="N3" t="s">
        <v>22</v>
      </c>
    </row>
    <row r="4" spans="1:14" x14ac:dyDescent="0.35">
      <c r="A4" t="s">
        <v>9</v>
      </c>
      <c r="B4">
        <v>8123</v>
      </c>
      <c r="C4">
        <v>50372</v>
      </c>
      <c r="F4" s="5" t="s">
        <v>9</v>
      </c>
      <c r="G4" s="4">
        <f t="shared" si="0"/>
        <v>230642</v>
      </c>
      <c r="H4" s="6">
        <f t="shared" si="1"/>
        <v>1286371</v>
      </c>
    </row>
    <row r="5" spans="1:14" x14ac:dyDescent="0.35">
      <c r="A5" t="s">
        <v>9</v>
      </c>
      <c r="B5">
        <v>7871</v>
      </c>
      <c r="C5">
        <v>33928</v>
      </c>
      <c r="F5" s="10" t="s">
        <v>10</v>
      </c>
      <c r="G5" s="11">
        <f t="shared" si="0"/>
        <v>290487</v>
      </c>
      <c r="H5" s="12">
        <f t="shared" si="1"/>
        <v>1990523</v>
      </c>
    </row>
    <row r="6" spans="1:14" x14ac:dyDescent="0.35">
      <c r="A6" t="s">
        <v>7</v>
      </c>
      <c r="B6">
        <v>7215</v>
      </c>
      <c r="C6">
        <v>25379</v>
      </c>
    </row>
    <row r="7" spans="1:14" x14ac:dyDescent="0.35">
      <c r="A7" t="s">
        <v>9</v>
      </c>
      <c r="B7">
        <v>7478</v>
      </c>
      <c r="C7">
        <v>46751</v>
      </c>
    </row>
    <row r="8" spans="1:14" x14ac:dyDescent="0.35">
      <c r="A8" t="s">
        <v>8</v>
      </c>
      <c r="B8">
        <v>4934</v>
      </c>
      <c r="C8">
        <v>44546</v>
      </c>
    </row>
    <row r="9" spans="1:14" x14ac:dyDescent="0.35">
      <c r="A9" t="s">
        <v>8</v>
      </c>
      <c r="B9">
        <v>3435</v>
      </c>
      <c r="C9">
        <v>34286</v>
      </c>
    </row>
    <row r="10" spans="1:14" x14ac:dyDescent="0.35">
      <c r="A10" t="s">
        <v>7</v>
      </c>
      <c r="B10">
        <v>7452</v>
      </c>
      <c r="C10">
        <v>15110</v>
      </c>
    </row>
    <row r="11" spans="1:14" x14ac:dyDescent="0.35">
      <c r="A11" t="s">
        <v>8</v>
      </c>
      <c r="B11">
        <v>6073</v>
      </c>
      <c r="C11">
        <v>22087</v>
      </c>
    </row>
    <row r="12" spans="1:14" x14ac:dyDescent="0.35">
      <c r="A12" t="s">
        <v>10</v>
      </c>
      <c r="B12">
        <v>6728</v>
      </c>
      <c r="C12">
        <v>33762</v>
      </c>
    </row>
    <row r="13" spans="1:14" x14ac:dyDescent="0.35">
      <c r="A13" t="s">
        <v>7</v>
      </c>
      <c r="B13">
        <v>5678</v>
      </c>
      <c r="C13">
        <v>27081</v>
      </c>
    </row>
    <row r="14" spans="1:14" x14ac:dyDescent="0.35">
      <c r="A14" t="s">
        <v>8</v>
      </c>
      <c r="B14">
        <v>8654</v>
      </c>
      <c r="C14">
        <v>44947</v>
      </c>
    </row>
    <row r="15" spans="1:14" x14ac:dyDescent="0.35">
      <c r="A15" t="s">
        <v>7</v>
      </c>
      <c r="B15">
        <v>4885</v>
      </c>
      <c r="C15">
        <v>19596</v>
      </c>
    </row>
    <row r="16" spans="1:14" x14ac:dyDescent="0.35">
      <c r="A16" t="s">
        <v>9</v>
      </c>
      <c r="B16">
        <v>8653</v>
      </c>
      <c r="C16">
        <v>48019</v>
      </c>
    </row>
    <row r="17" spans="1:3" x14ac:dyDescent="0.35">
      <c r="A17" t="s">
        <v>8</v>
      </c>
      <c r="B17">
        <v>6430</v>
      </c>
      <c r="C17">
        <v>52003</v>
      </c>
    </row>
    <row r="18" spans="1:3" x14ac:dyDescent="0.35">
      <c r="A18" t="s">
        <v>10</v>
      </c>
      <c r="B18">
        <v>5442</v>
      </c>
      <c r="C18">
        <v>28313</v>
      </c>
    </row>
    <row r="19" spans="1:3" x14ac:dyDescent="0.35">
      <c r="A19" t="s">
        <v>8</v>
      </c>
      <c r="B19">
        <v>8463</v>
      </c>
      <c r="C19">
        <v>57639</v>
      </c>
    </row>
    <row r="20" spans="1:3" x14ac:dyDescent="0.35">
      <c r="A20" t="s">
        <v>7</v>
      </c>
      <c r="B20">
        <v>3202</v>
      </c>
      <c r="C20">
        <v>11013</v>
      </c>
    </row>
    <row r="21" spans="1:3" x14ac:dyDescent="0.35">
      <c r="A21" t="s">
        <v>7</v>
      </c>
      <c r="B21">
        <v>2726</v>
      </c>
      <c r="C21">
        <v>59378</v>
      </c>
    </row>
    <row r="22" spans="1:3" x14ac:dyDescent="0.35">
      <c r="A22" t="s">
        <v>8</v>
      </c>
      <c r="B22">
        <v>7151</v>
      </c>
      <c r="C22">
        <v>33705</v>
      </c>
    </row>
    <row r="23" spans="1:3" x14ac:dyDescent="0.35">
      <c r="A23" t="s">
        <v>10</v>
      </c>
      <c r="B23">
        <v>1918</v>
      </c>
      <c r="C23">
        <v>11828</v>
      </c>
    </row>
    <row r="24" spans="1:3" x14ac:dyDescent="0.35">
      <c r="A24" t="s">
        <v>10</v>
      </c>
      <c r="B24">
        <v>6236</v>
      </c>
      <c r="C24">
        <v>17909</v>
      </c>
    </row>
    <row r="25" spans="1:3" x14ac:dyDescent="0.35">
      <c r="A25" t="s">
        <v>10</v>
      </c>
      <c r="B25">
        <v>3224</v>
      </c>
      <c r="C25">
        <v>48356</v>
      </c>
    </row>
    <row r="26" spans="1:3" x14ac:dyDescent="0.35">
      <c r="A26" t="s">
        <v>7</v>
      </c>
      <c r="B26">
        <v>3586</v>
      </c>
      <c r="C26">
        <v>23109</v>
      </c>
    </row>
    <row r="27" spans="1:3" x14ac:dyDescent="0.35">
      <c r="A27" t="s">
        <v>8</v>
      </c>
      <c r="B27">
        <v>7092</v>
      </c>
      <c r="C27">
        <v>12023</v>
      </c>
    </row>
    <row r="28" spans="1:3" x14ac:dyDescent="0.35">
      <c r="A28" t="s">
        <v>9</v>
      </c>
      <c r="B28">
        <v>1826</v>
      </c>
      <c r="C28">
        <v>24537</v>
      </c>
    </row>
    <row r="29" spans="1:3" x14ac:dyDescent="0.35">
      <c r="A29" t="s">
        <v>7</v>
      </c>
      <c r="B29">
        <v>1381</v>
      </c>
      <c r="C29">
        <v>36661</v>
      </c>
    </row>
    <row r="30" spans="1:3" x14ac:dyDescent="0.35">
      <c r="A30" t="s">
        <v>10</v>
      </c>
      <c r="B30">
        <v>7429</v>
      </c>
      <c r="C30">
        <v>48659</v>
      </c>
    </row>
    <row r="31" spans="1:3" x14ac:dyDescent="0.35">
      <c r="A31" t="s">
        <v>8</v>
      </c>
      <c r="B31">
        <v>7733</v>
      </c>
      <c r="C31">
        <v>43848</v>
      </c>
    </row>
    <row r="32" spans="1:3" x14ac:dyDescent="0.35">
      <c r="A32" t="s">
        <v>10</v>
      </c>
      <c r="B32">
        <v>7974</v>
      </c>
      <c r="C32">
        <v>47804</v>
      </c>
    </row>
    <row r="33" spans="1:3" x14ac:dyDescent="0.35">
      <c r="A33" t="s">
        <v>9</v>
      </c>
      <c r="B33">
        <v>9082</v>
      </c>
      <c r="C33">
        <v>25379</v>
      </c>
    </row>
    <row r="34" spans="1:3" x14ac:dyDescent="0.35">
      <c r="A34" t="s">
        <v>10</v>
      </c>
      <c r="B34">
        <v>1741</v>
      </c>
      <c r="C34">
        <v>37766</v>
      </c>
    </row>
    <row r="35" spans="1:3" x14ac:dyDescent="0.35">
      <c r="A35" t="s">
        <v>10</v>
      </c>
      <c r="B35">
        <v>5796</v>
      </c>
      <c r="C35">
        <v>53590</v>
      </c>
    </row>
    <row r="36" spans="1:3" x14ac:dyDescent="0.35">
      <c r="A36" t="s">
        <v>9</v>
      </c>
      <c r="B36">
        <v>3445</v>
      </c>
      <c r="C36">
        <v>12563</v>
      </c>
    </row>
    <row r="37" spans="1:3" x14ac:dyDescent="0.35">
      <c r="A37" t="s">
        <v>8</v>
      </c>
      <c r="B37">
        <v>6039</v>
      </c>
      <c r="C37">
        <v>46060</v>
      </c>
    </row>
    <row r="38" spans="1:3" x14ac:dyDescent="0.35">
      <c r="A38" t="s">
        <v>7</v>
      </c>
      <c r="B38">
        <v>3213</v>
      </c>
      <c r="C38">
        <v>39197</v>
      </c>
    </row>
    <row r="39" spans="1:3" x14ac:dyDescent="0.35">
      <c r="A39" t="s">
        <v>8</v>
      </c>
      <c r="B39">
        <v>3497</v>
      </c>
      <c r="C39">
        <v>13586</v>
      </c>
    </row>
    <row r="40" spans="1:3" x14ac:dyDescent="0.35">
      <c r="A40" t="s">
        <v>9</v>
      </c>
      <c r="B40">
        <v>2543</v>
      </c>
      <c r="C40">
        <v>26087</v>
      </c>
    </row>
    <row r="41" spans="1:3" x14ac:dyDescent="0.35">
      <c r="A41" t="s">
        <v>10</v>
      </c>
      <c r="B41">
        <v>4847</v>
      </c>
      <c r="C41">
        <v>58868</v>
      </c>
    </row>
    <row r="42" spans="1:3" x14ac:dyDescent="0.35">
      <c r="A42" t="s">
        <v>8</v>
      </c>
      <c r="B42">
        <v>5795</v>
      </c>
      <c r="C42">
        <v>33225</v>
      </c>
    </row>
    <row r="43" spans="1:3" x14ac:dyDescent="0.35">
      <c r="A43" t="s">
        <v>7</v>
      </c>
      <c r="B43">
        <v>6853</v>
      </c>
      <c r="C43">
        <v>39750</v>
      </c>
    </row>
    <row r="44" spans="1:3" x14ac:dyDescent="0.35">
      <c r="A44" t="s">
        <v>9</v>
      </c>
      <c r="B44">
        <v>7033</v>
      </c>
      <c r="C44">
        <v>16643</v>
      </c>
    </row>
    <row r="45" spans="1:3" x14ac:dyDescent="0.35">
      <c r="A45" t="s">
        <v>8</v>
      </c>
      <c r="B45">
        <v>7005</v>
      </c>
      <c r="C45">
        <v>37523</v>
      </c>
    </row>
    <row r="46" spans="1:3" x14ac:dyDescent="0.35">
      <c r="A46" t="s">
        <v>7</v>
      </c>
      <c r="B46">
        <v>6920</v>
      </c>
      <c r="C46">
        <v>46727</v>
      </c>
    </row>
    <row r="47" spans="1:3" x14ac:dyDescent="0.35">
      <c r="A47" t="s">
        <v>9</v>
      </c>
      <c r="B47">
        <v>5071</v>
      </c>
      <c r="C47">
        <v>21005</v>
      </c>
    </row>
    <row r="48" spans="1:3" x14ac:dyDescent="0.35">
      <c r="A48" t="s">
        <v>7</v>
      </c>
      <c r="B48">
        <v>6915</v>
      </c>
      <c r="C48">
        <v>53543</v>
      </c>
    </row>
    <row r="49" spans="1:3" x14ac:dyDescent="0.35">
      <c r="A49" t="s">
        <v>9</v>
      </c>
      <c r="B49">
        <v>4356</v>
      </c>
      <c r="C49">
        <v>10161</v>
      </c>
    </row>
    <row r="50" spans="1:3" x14ac:dyDescent="0.35">
      <c r="A50" t="s">
        <v>10</v>
      </c>
      <c r="B50">
        <v>1513</v>
      </c>
      <c r="C50">
        <v>26029</v>
      </c>
    </row>
    <row r="51" spans="1:3" x14ac:dyDescent="0.35">
      <c r="A51" t="s">
        <v>8</v>
      </c>
      <c r="B51">
        <v>5753</v>
      </c>
      <c r="C51">
        <v>59745</v>
      </c>
    </row>
    <row r="52" spans="1:3" x14ac:dyDescent="0.35">
      <c r="A52" t="s">
        <v>7</v>
      </c>
      <c r="B52">
        <v>8231</v>
      </c>
      <c r="C52">
        <v>24226</v>
      </c>
    </row>
    <row r="53" spans="1:3" x14ac:dyDescent="0.35">
      <c r="A53" t="s">
        <v>9</v>
      </c>
      <c r="B53">
        <v>5303</v>
      </c>
      <c r="C53">
        <v>38731</v>
      </c>
    </row>
    <row r="54" spans="1:3" x14ac:dyDescent="0.35">
      <c r="A54" t="s">
        <v>7</v>
      </c>
      <c r="B54">
        <v>5520</v>
      </c>
      <c r="C54">
        <v>53922</v>
      </c>
    </row>
    <row r="55" spans="1:3" x14ac:dyDescent="0.35">
      <c r="A55" t="s">
        <v>7</v>
      </c>
      <c r="B55">
        <v>1876</v>
      </c>
      <c r="C55">
        <v>54848</v>
      </c>
    </row>
    <row r="56" spans="1:3" x14ac:dyDescent="0.35">
      <c r="A56" t="s">
        <v>8</v>
      </c>
      <c r="B56">
        <v>6593</v>
      </c>
      <c r="C56">
        <v>13390</v>
      </c>
    </row>
    <row r="57" spans="1:3" x14ac:dyDescent="0.35">
      <c r="A57" t="s">
        <v>10</v>
      </c>
      <c r="B57">
        <v>8228</v>
      </c>
      <c r="C57">
        <v>15997</v>
      </c>
    </row>
    <row r="58" spans="1:3" x14ac:dyDescent="0.35">
      <c r="A58" t="s">
        <v>7</v>
      </c>
      <c r="B58">
        <v>7442</v>
      </c>
      <c r="C58">
        <v>22693</v>
      </c>
    </row>
    <row r="59" spans="1:3" x14ac:dyDescent="0.35">
      <c r="A59" t="s">
        <v>9</v>
      </c>
      <c r="B59">
        <v>9118</v>
      </c>
      <c r="C59">
        <v>59815</v>
      </c>
    </row>
    <row r="60" spans="1:3" x14ac:dyDescent="0.35">
      <c r="A60" t="s">
        <v>9</v>
      </c>
      <c r="B60">
        <v>2495</v>
      </c>
      <c r="C60">
        <v>52092</v>
      </c>
    </row>
    <row r="61" spans="1:3" x14ac:dyDescent="0.35">
      <c r="A61" t="s">
        <v>10</v>
      </c>
      <c r="B61">
        <v>6121</v>
      </c>
      <c r="C61">
        <v>10541</v>
      </c>
    </row>
    <row r="62" spans="1:3" x14ac:dyDescent="0.35">
      <c r="A62" t="s">
        <v>9</v>
      </c>
      <c r="B62">
        <v>7224</v>
      </c>
      <c r="C62">
        <v>31817</v>
      </c>
    </row>
    <row r="63" spans="1:3" x14ac:dyDescent="0.35">
      <c r="A63" t="s">
        <v>10</v>
      </c>
      <c r="B63">
        <v>2199</v>
      </c>
      <c r="C63">
        <v>47861</v>
      </c>
    </row>
    <row r="64" spans="1:3" x14ac:dyDescent="0.35">
      <c r="A64" t="s">
        <v>9</v>
      </c>
      <c r="B64">
        <v>2084</v>
      </c>
      <c r="C64">
        <v>23428</v>
      </c>
    </row>
    <row r="65" spans="1:3" x14ac:dyDescent="0.35">
      <c r="A65" t="s">
        <v>8</v>
      </c>
      <c r="B65">
        <v>3925</v>
      </c>
      <c r="C65">
        <v>53934</v>
      </c>
    </row>
    <row r="66" spans="1:3" x14ac:dyDescent="0.35">
      <c r="A66" t="s">
        <v>7</v>
      </c>
      <c r="B66">
        <v>1309</v>
      </c>
      <c r="C66">
        <v>58831</v>
      </c>
    </row>
    <row r="67" spans="1:3" x14ac:dyDescent="0.35">
      <c r="A67" t="s">
        <v>8</v>
      </c>
      <c r="B67">
        <v>4942</v>
      </c>
      <c r="C67">
        <v>20258</v>
      </c>
    </row>
    <row r="68" spans="1:3" x14ac:dyDescent="0.35">
      <c r="A68" t="s">
        <v>7</v>
      </c>
      <c r="B68">
        <v>4027</v>
      </c>
      <c r="C68">
        <v>26044</v>
      </c>
    </row>
    <row r="69" spans="1:3" x14ac:dyDescent="0.35">
      <c r="A69" t="s">
        <v>7</v>
      </c>
      <c r="B69">
        <v>7704</v>
      </c>
      <c r="C69">
        <v>39411</v>
      </c>
    </row>
    <row r="70" spans="1:3" x14ac:dyDescent="0.35">
      <c r="A70" t="s">
        <v>7</v>
      </c>
      <c r="B70">
        <v>8361</v>
      </c>
      <c r="C70">
        <v>15469</v>
      </c>
    </row>
    <row r="71" spans="1:3" x14ac:dyDescent="0.35">
      <c r="A71" t="s">
        <v>8</v>
      </c>
      <c r="B71">
        <v>5698</v>
      </c>
      <c r="C71">
        <v>38854</v>
      </c>
    </row>
    <row r="72" spans="1:3" x14ac:dyDescent="0.35">
      <c r="A72" t="s">
        <v>7</v>
      </c>
      <c r="B72">
        <v>1543</v>
      </c>
      <c r="C72">
        <v>16256</v>
      </c>
    </row>
    <row r="73" spans="1:3" x14ac:dyDescent="0.35">
      <c r="A73" t="s">
        <v>8</v>
      </c>
      <c r="B73">
        <v>2832</v>
      </c>
      <c r="C73">
        <v>20720</v>
      </c>
    </row>
    <row r="74" spans="1:3" x14ac:dyDescent="0.35">
      <c r="A74" t="s">
        <v>10</v>
      </c>
      <c r="B74">
        <v>2421</v>
      </c>
      <c r="C74">
        <v>43937</v>
      </c>
    </row>
    <row r="75" spans="1:3" x14ac:dyDescent="0.35">
      <c r="A75" t="s">
        <v>9</v>
      </c>
      <c r="B75">
        <v>6201</v>
      </c>
      <c r="C75">
        <v>43598</v>
      </c>
    </row>
    <row r="76" spans="1:3" x14ac:dyDescent="0.35">
      <c r="A76" t="s">
        <v>9</v>
      </c>
      <c r="B76">
        <v>4147</v>
      </c>
      <c r="C76">
        <v>11651</v>
      </c>
    </row>
    <row r="77" spans="1:3" x14ac:dyDescent="0.35">
      <c r="A77" t="s">
        <v>7</v>
      </c>
      <c r="B77">
        <v>4808</v>
      </c>
      <c r="C77">
        <v>29194</v>
      </c>
    </row>
    <row r="78" spans="1:3" x14ac:dyDescent="0.35">
      <c r="A78" t="s">
        <v>8</v>
      </c>
      <c r="B78">
        <v>7767</v>
      </c>
      <c r="C78">
        <v>35051</v>
      </c>
    </row>
    <row r="79" spans="1:3" x14ac:dyDescent="0.35">
      <c r="A79" t="s">
        <v>9</v>
      </c>
      <c r="B79">
        <v>7115</v>
      </c>
      <c r="C79">
        <v>37386</v>
      </c>
    </row>
    <row r="80" spans="1:3" x14ac:dyDescent="0.35">
      <c r="A80" t="s">
        <v>8</v>
      </c>
      <c r="B80">
        <v>3011</v>
      </c>
      <c r="C80">
        <v>19518</v>
      </c>
    </row>
    <row r="81" spans="1:3" x14ac:dyDescent="0.35">
      <c r="A81" t="s">
        <v>8</v>
      </c>
      <c r="B81">
        <v>5478</v>
      </c>
      <c r="C81">
        <v>56026</v>
      </c>
    </row>
    <row r="82" spans="1:3" x14ac:dyDescent="0.35">
      <c r="A82" t="s">
        <v>7</v>
      </c>
      <c r="B82">
        <v>7565</v>
      </c>
      <c r="C82">
        <v>26184</v>
      </c>
    </row>
    <row r="83" spans="1:3" x14ac:dyDescent="0.35">
      <c r="A83" t="s">
        <v>9</v>
      </c>
      <c r="B83">
        <v>6918</v>
      </c>
      <c r="C83">
        <v>43787</v>
      </c>
    </row>
    <row r="84" spans="1:3" x14ac:dyDescent="0.35">
      <c r="A84" t="s">
        <v>7</v>
      </c>
      <c r="B84">
        <v>7921</v>
      </c>
      <c r="C84">
        <v>31621</v>
      </c>
    </row>
    <row r="85" spans="1:3" x14ac:dyDescent="0.35">
      <c r="A85" t="s">
        <v>7</v>
      </c>
      <c r="B85">
        <v>8487</v>
      </c>
      <c r="C85">
        <v>20028</v>
      </c>
    </row>
    <row r="86" spans="1:3" x14ac:dyDescent="0.35">
      <c r="A86" t="s">
        <v>9</v>
      </c>
      <c r="B86">
        <v>6439</v>
      </c>
      <c r="C86">
        <v>22448</v>
      </c>
    </row>
    <row r="87" spans="1:3" x14ac:dyDescent="0.35">
      <c r="A87" t="s">
        <v>9</v>
      </c>
      <c r="B87">
        <v>6003</v>
      </c>
      <c r="C87">
        <v>55253</v>
      </c>
    </row>
    <row r="88" spans="1:3" x14ac:dyDescent="0.35">
      <c r="A88" t="s">
        <v>10</v>
      </c>
      <c r="B88">
        <v>6452</v>
      </c>
      <c r="C88">
        <v>44051</v>
      </c>
    </row>
    <row r="89" spans="1:3" x14ac:dyDescent="0.35">
      <c r="A89" t="s">
        <v>10</v>
      </c>
      <c r="B89">
        <v>8360</v>
      </c>
      <c r="C89">
        <v>59811</v>
      </c>
    </row>
    <row r="90" spans="1:3" x14ac:dyDescent="0.35">
      <c r="A90" t="s">
        <v>8</v>
      </c>
      <c r="B90">
        <v>7218</v>
      </c>
      <c r="C90">
        <v>40447</v>
      </c>
    </row>
    <row r="91" spans="1:3" x14ac:dyDescent="0.35">
      <c r="A91" t="s">
        <v>9</v>
      </c>
      <c r="B91">
        <v>3056</v>
      </c>
      <c r="C91">
        <v>28394</v>
      </c>
    </row>
    <row r="92" spans="1:3" x14ac:dyDescent="0.35">
      <c r="A92" t="s">
        <v>10</v>
      </c>
      <c r="B92">
        <v>4942</v>
      </c>
      <c r="C92">
        <v>44501</v>
      </c>
    </row>
    <row r="93" spans="1:3" x14ac:dyDescent="0.35">
      <c r="A93" t="s">
        <v>8</v>
      </c>
      <c r="B93">
        <v>1469</v>
      </c>
      <c r="C93">
        <v>40254</v>
      </c>
    </row>
    <row r="94" spans="1:3" x14ac:dyDescent="0.35">
      <c r="A94" t="s">
        <v>8</v>
      </c>
      <c r="B94">
        <v>1017</v>
      </c>
      <c r="C94">
        <v>28509</v>
      </c>
    </row>
    <row r="95" spans="1:3" x14ac:dyDescent="0.35">
      <c r="A95" t="s">
        <v>8</v>
      </c>
      <c r="B95">
        <v>8632</v>
      </c>
      <c r="C95">
        <v>58998</v>
      </c>
    </row>
    <row r="96" spans="1:3" x14ac:dyDescent="0.35">
      <c r="A96" t="s">
        <v>10</v>
      </c>
      <c r="B96">
        <v>4882</v>
      </c>
      <c r="C96">
        <v>24472</v>
      </c>
    </row>
    <row r="97" spans="1:3" x14ac:dyDescent="0.35">
      <c r="A97" t="s">
        <v>9</v>
      </c>
      <c r="B97">
        <v>5220</v>
      </c>
      <c r="C97">
        <v>55657</v>
      </c>
    </row>
    <row r="98" spans="1:3" x14ac:dyDescent="0.35">
      <c r="A98" t="s">
        <v>7</v>
      </c>
      <c r="B98">
        <v>5206</v>
      </c>
      <c r="C98">
        <v>13471</v>
      </c>
    </row>
    <row r="99" spans="1:3" x14ac:dyDescent="0.35">
      <c r="A99" t="s">
        <v>8</v>
      </c>
      <c r="B99">
        <v>6384</v>
      </c>
      <c r="C99">
        <v>51796</v>
      </c>
    </row>
    <row r="100" spans="1:3" x14ac:dyDescent="0.35">
      <c r="A100" t="s">
        <v>10</v>
      </c>
      <c r="B100">
        <v>3179</v>
      </c>
      <c r="C100">
        <v>40268</v>
      </c>
    </row>
    <row r="101" spans="1:3" x14ac:dyDescent="0.35">
      <c r="A101" t="s">
        <v>10</v>
      </c>
      <c r="B101">
        <v>6469</v>
      </c>
      <c r="C101">
        <v>18329</v>
      </c>
    </row>
    <row r="102" spans="1:3" x14ac:dyDescent="0.35">
      <c r="A102" t="s">
        <v>7</v>
      </c>
      <c r="B102">
        <v>8485</v>
      </c>
      <c r="C102">
        <v>44865</v>
      </c>
    </row>
    <row r="103" spans="1:3" x14ac:dyDescent="0.35">
      <c r="A103" t="s">
        <v>7</v>
      </c>
      <c r="B103">
        <v>6052</v>
      </c>
      <c r="C103">
        <v>56850</v>
      </c>
    </row>
    <row r="104" spans="1:3" x14ac:dyDescent="0.35">
      <c r="A104" t="s">
        <v>10</v>
      </c>
      <c r="B104">
        <v>8945</v>
      </c>
      <c r="C104">
        <v>56698</v>
      </c>
    </row>
    <row r="105" spans="1:3" x14ac:dyDescent="0.35">
      <c r="A105" t="s">
        <v>9</v>
      </c>
      <c r="B105">
        <v>5143</v>
      </c>
      <c r="C105">
        <v>38272</v>
      </c>
    </row>
    <row r="106" spans="1:3" x14ac:dyDescent="0.35">
      <c r="A106" t="s">
        <v>7</v>
      </c>
      <c r="B106">
        <v>1369</v>
      </c>
      <c r="C106">
        <v>52845</v>
      </c>
    </row>
    <row r="107" spans="1:3" x14ac:dyDescent="0.35">
      <c r="A107" t="s">
        <v>10</v>
      </c>
      <c r="B107">
        <v>5402</v>
      </c>
      <c r="C107">
        <v>16397</v>
      </c>
    </row>
    <row r="108" spans="1:3" x14ac:dyDescent="0.35">
      <c r="A108" t="s">
        <v>7</v>
      </c>
      <c r="B108">
        <v>7630</v>
      </c>
      <c r="C108">
        <v>42373</v>
      </c>
    </row>
    <row r="109" spans="1:3" x14ac:dyDescent="0.35">
      <c r="A109" t="s">
        <v>9</v>
      </c>
      <c r="B109">
        <v>3929</v>
      </c>
      <c r="C109">
        <v>45525</v>
      </c>
    </row>
    <row r="110" spans="1:3" x14ac:dyDescent="0.35">
      <c r="A110" t="s">
        <v>8</v>
      </c>
      <c r="B110">
        <v>6642</v>
      </c>
      <c r="C110">
        <v>34570</v>
      </c>
    </row>
    <row r="111" spans="1:3" x14ac:dyDescent="0.35">
      <c r="A111" t="s">
        <v>7</v>
      </c>
      <c r="B111">
        <v>3461</v>
      </c>
      <c r="C111">
        <v>28284</v>
      </c>
    </row>
    <row r="112" spans="1:3" x14ac:dyDescent="0.35">
      <c r="A112" t="s">
        <v>9</v>
      </c>
      <c r="B112">
        <v>4790</v>
      </c>
      <c r="C112">
        <v>28994</v>
      </c>
    </row>
    <row r="113" spans="1:3" x14ac:dyDescent="0.35">
      <c r="A113" t="s">
        <v>10</v>
      </c>
      <c r="B113">
        <v>949</v>
      </c>
      <c r="C113">
        <v>33284</v>
      </c>
    </row>
    <row r="114" spans="1:3" x14ac:dyDescent="0.35">
      <c r="A114" t="s">
        <v>7</v>
      </c>
      <c r="B114">
        <v>3592</v>
      </c>
      <c r="C114">
        <v>27833</v>
      </c>
    </row>
    <row r="115" spans="1:3" x14ac:dyDescent="0.35">
      <c r="A115" t="s">
        <v>7</v>
      </c>
      <c r="B115">
        <v>1210</v>
      </c>
      <c r="C115">
        <v>35122</v>
      </c>
    </row>
    <row r="116" spans="1:3" x14ac:dyDescent="0.35">
      <c r="A116" t="s">
        <v>10</v>
      </c>
      <c r="B116">
        <v>8527</v>
      </c>
      <c r="C116">
        <v>15017</v>
      </c>
    </row>
    <row r="117" spans="1:3" x14ac:dyDescent="0.35">
      <c r="A117" t="s">
        <v>8</v>
      </c>
      <c r="B117">
        <v>6275</v>
      </c>
      <c r="C117">
        <v>26370</v>
      </c>
    </row>
    <row r="118" spans="1:3" x14ac:dyDescent="0.35">
      <c r="A118" t="s">
        <v>10</v>
      </c>
      <c r="B118">
        <v>1367</v>
      </c>
      <c r="C118">
        <v>39252</v>
      </c>
    </row>
    <row r="119" spans="1:3" x14ac:dyDescent="0.35">
      <c r="A119" t="s">
        <v>7</v>
      </c>
      <c r="B119">
        <v>4314</v>
      </c>
      <c r="C119">
        <v>17999</v>
      </c>
    </row>
    <row r="120" spans="1:3" x14ac:dyDescent="0.35">
      <c r="A120" t="s">
        <v>10</v>
      </c>
      <c r="B120">
        <v>6174</v>
      </c>
      <c r="C120">
        <v>32436</v>
      </c>
    </row>
    <row r="121" spans="1:3" x14ac:dyDescent="0.35">
      <c r="A121" t="s">
        <v>9</v>
      </c>
      <c r="B121">
        <v>7328</v>
      </c>
      <c r="C121">
        <v>52963</v>
      </c>
    </row>
    <row r="122" spans="1:3" x14ac:dyDescent="0.35">
      <c r="A122" t="s">
        <v>10</v>
      </c>
      <c r="B122">
        <v>8200</v>
      </c>
      <c r="C122">
        <v>12096</v>
      </c>
    </row>
    <row r="123" spans="1:3" x14ac:dyDescent="0.35">
      <c r="A123" t="s">
        <v>7</v>
      </c>
      <c r="B123">
        <v>4214</v>
      </c>
      <c r="C123">
        <v>58201</v>
      </c>
    </row>
    <row r="124" spans="1:3" x14ac:dyDescent="0.35">
      <c r="A124" t="s">
        <v>10</v>
      </c>
      <c r="B124">
        <v>8377</v>
      </c>
      <c r="C124">
        <v>35279</v>
      </c>
    </row>
    <row r="125" spans="1:3" x14ac:dyDescent="0.35">
      <c r="A125" t="s">
        <v>8</v>
      </c>
      <c r="B125">
        <v>3079</v>
      </c>
      <c r="C125">
        <v>53363</v>
      </c>
    </row>
    <row r="126" spans="1:3" x14ac:dyDescent="0.35">
      <c r="A126" t="s">
        <v>10</v>
      </c>
      <c r="B126">
        <v>9254</v>
      </c>
      <c r="C126">
        <v>58709</v>
      </c>
    </row>
    <row r="127" spans="1:3" x14ac:dyDescent="0.35">
      <c r="A127" t="s">
        <v>8</v>
      </c>
      <c r="B127">
        <v>7668</v>
      </c>
      <c r="C127">
        <v>36201</v>
      </c>
    </row>
    <row r="128" spans="1:3" x14ac:dyDescent="0.35">
      <c r="A128" t="s">
        <v>9</v>
      </c>
      <c r="B128">
        <v>8601</v>
      </c>
      <c r="C128">
        <v>29715</v>
      </c>
    </row>
    <row r="129" spans="1:3" x14ac:dyDescent="0.35">
      <c r="A129" t="s">
        <v>8</v>
      </c>
      <c r="B129">
        <v>1534</v>
      </c>
      <c r="C129">
        <v>39309</v>
      </c>
    </row>
    <row r="130" spans="1:3" x14ac:dyDescent="0.35">
      <c r="A130" t="s">
        <v>10</v>
      </c>
      <c r="B130">
        <v>7471</v>
      </c>
      <c r="C130">
        <v>25078</v>
      </c>
    </row>
    <row r="131" spans="1:3" x14ac:dyDescent="0.35">
      <c r="A131" t="s">
        <v>7</v>
      </c>
      <c r="B131">
        <v>2919</v>
      </c>
      <c r="C131">
        <v>15105</v>
      </c>
    </row>
    <row r="132" spans="1:3" x14ac:dyDescent="0.35">
      <c r="A132" t="s">
        <v>8</v>
      </c>
      <c r="B132">
        <v>7346</v>
      </c>
      <c r="C132">
        <v>39312</v>
      </c>
    </row>
    <row r="133" spans="1:3" x14ac:dyDescent="0.35">
      <c r="A133" t="s">
        <v>9</v>
      </c>
      <c r="B133">
        <v>1001</v>
      </c>
      <c r="C133">
        <v>12839</v>
      </c>
    </row>
    <row r="134" spans="1:3" x14ac:dyDescent="0.35">
      <c r="A134" t="s">
        <v>8</v>
      </c>
      <c r="B134">
        <v>8518</v>
      </c>
      <c r="C134">
        <v>13384</v>
      </c>
    </row>
    <row r="135" spans="1:3" x14ac:dyDescent="0.35">
      <c r="A135" t="s">
        <v>8</v>
      </c>
      <c r="B135">
        <v>7421</v>
      </c>
      <c r="C135">
        <v>53619</v>
      </c>
    </row>
    <row r="136" spans="1:3" x14ac:dyDescent="0.35">
      <c r="A136" t="s">
        <v>8</v>
      </c>
      <c r="B136">
        <v>4216</v>
      </c>
      <c r="C136">
        <v>52821</v>
      </c>
    </row>
    <row r="137" spans="1:3" x14ac:dyDescent="0.35">
      <c r="A137" t="s">
        <v>9</v>
      </c>
      <c r="B137">
        <v>7654</v>
      </c>
      <c r="C137">
        <v>23493</v>
      </c>
    </row>
    <row r="138" spans="1:3" x14ac:dyDescent="0.35">
      <c r="A138" t="s">
        <v>10</v>
      </c>
      <c r="B138">
        <v>7260</v>
      </c>
      <c r="C138">
        <v>27069</v>
      </c>
    </row>
    <row r="139" spans="1:3" x14ac:dyDescent="0.35">
      <c r="A139" t="s">
        <v>8</v>
      </c>
      <c r="B139">
        <v>6361</v>
      </c>
      <c r="C139">
        <v>56907</v>
      </c>
    </row>
    <row r="140" spans="1:3" x14ac:dyDescent="0.35">
      <c r="A140" t="s">
        <v>8</v>
      </c>
      <c r="B140">
        <v>5428</v>
      </c>
      <c r="C140">
        <v>17531</v>
      </c>
    </row>
    <row r="141" spans="1:3" x14ac:dyDescent="0.35">
      <c r="A141" t="s">
        <v>7</v>
      </c>
      <c r="B141">
        <v>3643</v>
      </c>
      <c r="C141">
        <v>47051</v>
      </c>
    </row>
    <row r="142" spans="1:3" x14ac:dyDescent="0.35">
      <c r="A142" t="s">
        <v>9</v>
      </c>
      <c r="B142">
        <v>3805</v>
      </c>
      <c r="C142">
        <v>17736</v>
      </c>
    </row>
    <row r="143" spans="1:3" x14ac:dyDescent="0.35">
      <c r="A143" t="s">
        <v>8</v>
      </c>
      <c r="B143">
        <v>8128</v>
      </c>
      <c r="C143">
        <v>17710</v>
      </c>
    </row>
    <row r="144" spans="1:3" x14ac:dyDescent="0.35">
      <c r="A144" t="s">
        <v>9</v>
      </c>
      <c r="B144">
        <v>8642</v>
      </c>
      <c r="C144">
        <v>11619</v>
      </c>
    </row>
    <row r="145" spans="1:3" x14ac:dyDescent="0.35">
      <c r="A145" t="s">
        <v>8</v>
      </c>
      <c r="B145">
        <v>7958</v>
      </c>
      <c r="C145">
        <v>23975</v>
      </c>
    </row>
    <row r="146" spans="1:3" x14ac:dyDescent="0.35">
      <c r="A146" t="s">
        <v>10</v>
      </c>
      <c r="B146">
        <v>3420</v>
      </c>
      <c r="C146">
        <v>55603</v>
      </c>
    </row>
    <row r="147" spans="1:3" x14ac:dyDescent="0.35">
      <c r="A147" t="s">
        <v>10</v>
      </c>
      <c r="B147">
        <v>2525</v>
      </c>
      <c r="C147">
        <v>33252</v>
      </c>
    </row>
    <row r="148" spans="1:3" x14ac:dyDescent="0.35">
      <c r="A148" t="s">
        <v>8</v>
      </c>
      <c r="B148">
        <v>1020</v>
      </c>
      <c r="C148">
        <v>25261</v>
      </c>
    </row>
    <row r="149" spans="1:3" x14ac:dyDescent="0.35">
      <c r="A149" t="s">
        <v>10</v>
      </c>
      <c r="B149">
        <v>6677</v>
      </c>
      <c r="C149">
        <v>11431</v>
      </c>
    </row>
    <row r="150" spans="1:3" x14ac:dyDescent="0.35">
      <c r="A150" t="s">
        <v>8</v>
      </c>
      <c r="B150">
        <v>1290</v>
      </c>
      <c r="C150">
        <v>19067</v>
      </c>
    </row>
    <row r="151" spans="1:3" x14ac:dyDescent="0.35">
      <c r="A151" t="s">
        <v>10</v>
      </c>
      <c r="B151">
        <v>5101</v>
      </c>
      <c r="C151">
        <v>47481</v>
      </c>
    </row>
    <row r="152" spans="1:3" x14ac:dyDescent="0.35">
      <c r="A152" t="s">
        <v>7</v>
      </c>
      <c r="B152">
        <v>5439</v>
      </c>
      <c r="C152">
        <v>37037</v>
      </c>
    </row>
    <row r="153" spans="1:3" x14ac:dyDescent="0.35">
      <c r="A153" t="s">
        <v>7</v>
      </c>
      <c r="B153">
        <v>6029</v>
      </c>
      <c r="C153">
        <v>19557</v>
      </c>
    </row>
    <row r="154" spans="1:3" x14ac:dyDescent="0.35">
      <c r="A154" t="s">
        <v>7</v>
      </c>
      <c r="B154">
        <v>9125</v>
      </c>
      <c r="C154">
        <v>19435</v>
      </c>
    </row>
    <row r="155" spans="1:3" x14ac:dyDescent="0.35">
      <c r="A155" t="s">
        <v>9</v>
      </c>
      <c r="B155">
        <v>8979</v>
      </c>
      <c r="C155">
        <v>47766</v>
      </c>
    </row>
    <row r="156" spans="1:3" x14ac:dyDescent="0.35">
      <c r="A156" t="s">
        <v>9</v>
      </c>
      <c r="B156">
        <v>6380</v>
      </c>
      <c r="C156">
        <v>10162</v>
      </c>
    </row>
    <row r="157" spans="1:3" x14ac:dyDescent="0.35">
      <c r="A157" t="s">
        <v>7</v>
      </c>
      <c r="B157">
        <v>5962</v>
      </c>
      <c r="C157">
        <v>44742</v>
      </c>
    </row>
    <row r="158" spans="1:3" x14ac:dyDescent="0.35">
      <c r="A158" t="s">
        <v>9</v>
      </c>
      <c r="B158">
        <v>6631</v>
      </c>
      <c r="C158">
        <v>29675</v>
      </c>
    </row>
    <row r="159" spans="1:3" x14ac:dyDescent="0.35">
      <c r="A159" t="s">
        <v>10</v>
      </c>
      <c r="B159">
        <v>7432</v>
      </c>
      <c r="C159">
        <v>18461</v>
      </c>
    </row>
    <row r="160" spans="1:3" x14ac:dyDescent="0.35">
      <c r="A160" t="s">
        <v>8</v>
      </c>
      <c r="B160">
        <v>2081</v>
      </c>
      <c r="C160">
        <v>27015</v>
      </c>
    </row>
    <row r="161" spans="1:3" x14ac:dyDescent="0.35">
      <c r="A161" t="s">
        <v>8</v>
      </c>
      <c r="B161">
        <v>4245</v>
      </c>
      <c r="C161">
        <v>42591</v>
      </c>
    </row>
    <row r="162" spans="1:3" x14ac:dyDescent="0.35">
      <c r="A162" t="s">
        <v>8</v>
      </c>
      <c r="B162">
        <v>8723</v>
      </c>
      <c r="C162">
        <v>38047</v>
      </c>
    </row>
    <row r="163" spans="1:3" x14ac:dyDescent="0.35">
      <c r="A163" t="s">
        <v>7</v>
      </c>
      <c r="B163">
        <v>2994</v>
      </c>
      <c r="C163">
        <v>44782</v>
      </c>
    </row>
    <row r="164" spans="1:3" x14ac:dyDescent="0.35">
      <c r="A164" t="s">
        <v>9</v>
      </c>
      <c r="B164">
        <v>3555</v>
      </c>
      <c r="C164">
        <v>19833</v>
      </c>
    </row>
    <row r="165" spans="1:3" x14ac:dyDescent="0.35">
      <c r="A165" t="s">
        <v>10</v>
      </c>
      <c r="B165">
        <v>2535</v>
      </c>
      <c r="C165">
        <v>17896</v>
      </c>
    </row>
    <row r="166" spans="1:3" x14ac:dyDescent="0.35">
      <c r="A166" t="s">
        <v>10</v>
      </c>
      <c r="B166">
        <v>7509</v>
      </c>
      <c r="C166">
        <v>42972</v>
      </c>
    </row>
    <row r="167" spans="1:3" x14ac:dyDescent="0.35">
      <c r="A167" t="s">
        <v>7</v>
      </c>
      <c r="B167">
        <v>8292</v>
      </c>
      <c r="C167">
        <v>59733</v>
      </c>
    </row>
    <row r="168" spans="1:3" x14ac:dyDescent="0.35">
      <c r="A168" t="s">
        <v>10</v>
      </c>
      <c r="B168">
        <v>4852</v>
      </c>
      <c r="C168">
        <v>51800</v>
      </c>
    </row>
    <row r="169" spans="1:3" x14ac:dyDescent="0.35">
      <c r="A169" t="s">
        <v>10</v>
      </c>
      <c r="B169">
        <v>7367</v>
      </c>
      <c r="C169">
        <v>40508</v>
      </c>
    </row>
    <row r="170" spans="1:3" x14ac:dyDescent="0.35">
      <c r="A170" t="s">
        <v>10</v>
      </c>
      <c r="B170">
        <v>9044</v>
      </c>
      <c r="C170">
        <v>15347</v>
      </c>
    </row>
    <row r="171" spans="1:3" x14ac:dyDescent="0.35">
      <c r="A171" t="s">
        <v>10</v>
      </c>
      <c r="B171">
        <v>2848</v>
      </c>
      <c r="C171">
        <v>40314</v>
      </c>
    </row>
    <row r="172" spans="1:3" x14ac:dyDescent="0.35">
      <c r="A172" t="s">
        <v>9</v>
      </c>
      <c r="B172">
        <v>4189</v>
      </c>
      <c r="C172">
        <v>12643</v>
      </c>
    </row>
    <row r="173" spans="1:3" x14ac:dyDescent="0.35">
      <c r="A173" t="s">
        <v>10</v>
      </c>
      <c r="B173">
        <v>9335</v>
      </c>
      <c r="C173">
        <v>50785</v>
      </c>
    </row>
    <row r="174" spans="1:3" x14ac:dyDescent="0.35">
      <c r="A174" t="s">
        <v>8</v>
      </c>
      <c r="B174">
        <v>6272</v>
      </c>
      <c r="C174">
        <v>28681</v>
      </c>
    </row>
    <row r="175" spans="1:3" x14ac:dyDescent="0.35">
      <c r="A175" t="s">
        <v>7</v>
      </c>
      <c r="B175">
        <v>6128</v>
      </c>
      <c r="C175">
        <v>48328</v>
      </c>
    </row>
    <row r="176" spans="1:3" x14ac:dyDescent="0.35">
      <c r="A176" t="s">
        <v>9</v>
      </c>
      <c r="B176">
        <v>1567</v>
      </c>
      <c r="C176">
        <v>25892</v>
      </c>
    </row>
    <row r="177" spans="1:3" x14ac:dyDescent="0.35">
      <c r="A177" t="s">
        <v>10</v>
      </c>
      <c r="B177">
        <v>1660</v>
      </c>
      <c r="C177">
        <v>57299</v>
      </c>
    </row>
    <row r="178" spans="1:3" x14ac:dyDescent="0.35">
      <c r="A178" t="s">
        <v>9</v>
      </c>
      <c r="B178">
        <v>6434</v>
      </c>
      <c r="C178">
        <v>27073</v>
      </c>
    </row>
    <row r="179" spans="1:3" x14ac:dyDescent="0.35">
      <c r="A179" t="s">
        <v>10</v>
      </c>
      <c r="B179">
        <v>4542</v>
      </c>
      <c r="C179">
        <v>46768</v>
      </c>
    </row>
    <row r="180" spans="1:3" x14ac:dyDescent="0.35">
      <c r="A180" t="s">
        <v>8</v>
      </c>
      <c r="B180">
        <v>8319</v>
      </c>
      <c r="C180">
        <v>40682</v>
      </c>
    </row>
    <row r="181" spans="1:3" x14ac:dyDescent="0.35">
      <c r="A181" t="s">
        <v>7</v>
      </c>
      <c r="B181">
        <v>1425</v>
      </c>
      <c r="C181">
        <v>42262</v>
      </c>
    </row>
    <row r="182" spans="1:3" x14ac:dyDescent="0.35">
      <c r="A182" t="s">
        <v>10</v>
      </c>
      <c r="B182">
        <v>7849</v>
      </c>
      <c r="C182">
        <v>41358</v>
      </c>
    </row>
    <row r="183" spans="1:3" x14ac:dyDescent="0.35">
      <c r="A183" t="s">
        <v>10</v>
      </c>
      <c r="B183">
        <v>6368</v>
      </c>
      <c r="C183">
        <v>24289</v>
      </c>
    </row>
    <row r="184" spans="1:3" x14ac:dyDescent="0.35">
      <c r="A184" t="s">
        <v>10</v>
      </c>
      <c r="B184">
        <v>4788</v>
      </c>
      <c r="C184">
        <v>59823</v>
      </c>
    </row>
    <row r="185" spans="1:3" x14ac:dyDescent="0.35">
      <c r="A185" t="s">
        <v>10</v>
      </c>
      <c r="B185">
        <v>5990</v>
      </c>
      <c r="C185">
        <v>17927</v>
      </c>
    </row>
    <row r="186" spans="1:3" x14ac:dyDescent="0.35">
      <c r="A186" t="s">
        <v>7</v>
      </c>
      <c r="B186">
        <v>5491</v>
      </c>
      <c r="C186">
        <v>58330</v>
      </c>
    </row>
    <row r="187" spans="1:3" x14ac:dyDescent="0.35">
      <c r="A187" t="s">
        <v>7</v>
      </c>
      <c r="B187">
        <v>6425</v>
      </c>
      <c r="C187">
        <v>11171</v>
      </c>
    </row>
    <row r="188" spans="1:3" x14ac:dyDescent="0.35">
      <c r="A188" t="s">
        <v>8</v>
      </c>
      <c r="B188">
        <v>7058</v>
      </c>
      <c r="C188">
        <v>21918</v>
      </c>
    </row>
    <row r="189" spans="1:3" x14ac:dyDescent="0.35">
      <c r="A189" t="s">
        <v>7</v>
      </c>
      <c r="B189">
        <v>3096</v>
      </c>
      <c r="C189">
        <v>51903</v>
      </c>
    </row>
    <row r="190" spans="1:3" x14ac:dyDescent="0.35">
      <c r="A190" t="s">
        <v>10</v>
      </c>
      <c r="B190">
        <v>1512</v>
      </c>
      <c r="C190">
        <v>49110</v>
      </c>
    </row>
    <row r="191" spans="1:3" x14ac:dyDescent="0.35">
      <c r="A191" t="s">
        <v>8</v>
      </c>
      <c r="B191">
        <v>2926</v>
      </c>
      <c r="C191">
        <v>21929</v>
      </c>
    </row>
    <row r="192" spans="1:3" x14ac:dyDescent="0.35">
      <c r="A192" t="s">
        <v>8</v>
      </c>
      <c r="B192">
        <v>7555</v>
      </c>
      <c r="C192">
        <v>12539</v>
      </c>
    </row>
    <row r="193" spans="1:3" x14ac:dyDescent="0.35">
      <c r="A193" t="s">
        <v>8</v>
      </c>
      <c r="B193">
        <v>5456</v>
      </c>
      <c r="C193">
        <v>46727</v>
      </c>
    </row>
    <row r="194" spans="1:3" x14ac:dyDescent="0.35">
      <c r="A194" t="s">
        <v>10</v>
      </c>
      <c r="B194">
        <v>893</v>
      </c>
      <c r="C194">
        <v>55951</v>
      </c>
    </row>
    <row r="195" spans="1:3" x14ac:dyDescent="0.35">
      <c r="A195" t="s">
        <v>9</v>
      </c>
      <c r="B195">
        <v>5210</v>
      </c>
      <c r="C195">
        <v>32669</v>
      </c>
    </row>
    <row r="196" spans="1:3" x14ac:dyDescent="0.35">
      <c r="A196" t="s">
        <v>10</v>
      </c>
      <c r="B196">
        <v>2067</v>
      </c>
      <c r="C196">
        <v>15432</v>
      </c>
    </row>
    <row r="197" spans="1:3" x14ac:dyDescent="0.35">
      <c r="A197" t="s">
        <v>7</v>
      </c>
      <c r="B197">
        <v>7959</v>
      </c>
      <c r="C197">
        <v>30644</v>
      </c>
    </row>
    <row r="198" spans="1:3" x14ac:dyDescent="0.35">
      <c r="A198" t="s">
        <v>7</v>
      </c>
      <c r="B198">
        <v>2805</v>
      </c>
      <c r="C198">
        <v>28745</v>
      </c>
    </row>
    <row r="199" spans="1:3" x14ac:dyDescent="0.35">
      <c r="A199" t="s">
        <v>10</v>
      </c>
      <c r="B199">
        <v>7025</v>
      </c>
      <c r="C199">
        <v>38228</v>
      </c>
    </row>
    <row r="200" spans="1:3" x14ac:dyDescent="0.35">
      <c r="A200" t="s">
        <v>10</v>
      </c>
      <c r="B200">
        <v>1121</v>
      </c>
      <c r="C200">
        <v>44521</v>
      </c>
    </row>
    <row r="201" spans="1:3" x14ac:dyDescent="0.35">
      <c r="A201" t="s">
        <v>8</v>
      </c>
      <c r="B201">
        <v>7436</v>
      </c>
      <c r="C201">
        <v>41703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AEF51-5259-409E-A5A7-26A61BBB43CD}">
  <dimension ref="A3:K55"/>
  <sheetViews>
    <sheetView topLeftCell="B2" workbookViewId="0">
      <selection activeCell="K4" sqref="K4"/>
    </sheetView>
  </sheetViews>
  <sheetFormatPr defaultRowHeight="14.5" x14ac:dyDescent="0.35"/>
  <cols>
    <col min="1" max="1" width="23.7265625" bestFit="1" customWidth="1"/>
    <col min="2" max="2" width="15" bestFit="1" customWidth="1"/>
    <col min="3" max="3" width="6.81640625" bestFit="1" customWidth="1"/>
    <col min="4" max="4" width="7.54296875" bestFit="1" customWidth="1"/>
    <col min="5" max="5" width="8.90625" bestFit="1" customWidth="1"/>
    <col min="6" max="6" width="10.08984375" bestFit="1" customWidth="1"/>
  </cols>
  <sheetData>
    <row r="3" spans="1:11" x14ac:dyDescent="0.35">
      <c r="A3" t="s">
        <v>15</v>
      </c>
      <c r="B3" t="s">
        <v>14</v>
      </c>
      <c r="K3" t="s">
        <v>21</v>
      </c>
    </row>
    <row r="4" spans="1:11" x14ac:dyDescent="0.35">
      <c r="A4" t="s">
        <v>12</v>
      </c>
      <c r="B4" t="s">
        <v>9</v>
      </c>
      <c r="C4" t="s">
        <v>8</v>
      </c>
      <c r="D4" t="s">
        <v>10</v>
      </c>
      <c r="E4" t="s">
        <v>7</v>
      </c>
      <c r="F4" t="s">
        <v>13</v>
      </c>
    </row>
    <row r="5" spans="1:11" x14ac:dyDescent="0.35">
      <c r="A5" s="3">
        <v>45446</v>
      </c>
      <c r="B5">
        <v>15994</v>
      </c>
      <c r="C5">
        <v>7432</v>
      </c>
      <c r="E5">
        <v>3777</v>
      </c>
      <c r="F5">
        <v>27203</v>
      </c>
    </row>
    <row r="6" spans="1:11" x14ac:dyDescent="0.35">
      <c r="A6" s="3">
        <v>45712</v>
      </c>
      <c r="B6">
        <v>15359</v>
      </c>
      <c r="E6">
        <v>15087</v>
      </c>
      <c r="F6">
        <v>30446</v>
      </c>
    </row>
    <row r="7" spans="1:11" x14ac:dyDescent="0.35">
      <c r="A7" s="3">
        <v>45691</v>
      </c>
      <c r="B7">
        <v>12447</v>
      </c>
      <c r="C7">
        <v>16086</v>
      </c>
      <c r="F7">
        <v>28533</v>
      </c>
    </row>
    <row r="8" spans="1:11" x14ac:dyDescent="0.35">
      <c r="A8" s="3">
        <v>45593</v>
      </c>
      <c r="B8">
        <v>12442</v>
      </c>
      <c r="D8">
        <v>14812</v>
      </c>
      <c r="F8">
        <v>27254</v>
      </c>
    </row>
    <row r="9" spans="1:11" x14ac:dyDescent="0.35">
      <c r="A9" s="3">
        <v>45544</v>
      </c>
      <c r="B9">
        <v>11613</v>
      </c>
      <c r="D9">
        <v>6121</v>
      </c>
      <c r="E9">
        <v>7442</v>
      </c>
      <c r="F9">
        <v>25176</v>
      </c>
    </row>
    <row r="10" spans="1:11" x14ac:dyDescent="0.35">
      <c r="A10" s="3">
        <v>45572</v>
      </c>
      <c r="B10">
        <v>10348</v>
      </c>
      <c r="D10">
        <v>2421</v>
      </c>
      <c r="E10">
        <v>4808</v>
      </c>
      <c r="F10">
        <v>17577</v>
      </c>
    </row>
    <row r="11" spans="1:11" x14ac:dyDescent="0.35">
      <c r="A11" s="3">
        <v>45523</v>
      </c>
      <c r="B11">
        <v>9427</v>
      </c>
      <c r="E11">
        <v>13835</v>
      </c>
      <c r="F11">
        <v>23262</v>
      </c>
    </row>
    <row r="12" spans="1:11" x14ac:dyDescent="0.35">
      <c r="A12" s="3">
        <v>45551</v>
      </c>
      <c r="B12">
        <v>9308</v>
      </c>
      <c r="C12">
        <v>3925</v>
      </c>
      <c r="D12">
        <v>2199</v>
      </c>
      <c r="F12">
        <v>15432</v>
      </c>
    </row>
    <row r="13" spans="1:11" x14ac:dyDescent="0.35">
      <c r="A13" s="3">
        <v>45495</v>
      </c>
      <c r="B13">
        <v>9082</v>
      </c>
      <c r="C13">
        <v>7733</v>
      </c>
      <c r="D13">
        <v>15403</v>
      </c>
      <c r="F13">
        <v>32218</v>
      </c>
    </row>
    <row r="14" spans="1:11" x14ac:dyDescent="0.35">
      <c r="A14" s="3">
        <v>45467</v>
      </c>
      <c r="B14">
        <v>8653</v>
      </c>
      <c r="C14">
        <v>15084</v>
      </c>
      <c r="E14">
        <v>4885</v>
      </c>
      <c r="F14">
        <v>28622</v>
      </c>
    </row>
    <row r="15" spans="1:11" x14ac:dyDescent="0.35">
      <c r="A15" s="3">
        <v>45663</v>
      </c>
      <c r="B15">
        <v>8601</v>
      </c>
      <c r="C15">
        <v>9202</v>
      </c>
      <c r="D15">
        <v>9254</v>
      </c>
      <c r="F15">
        <v>27057</v>
      </c>
    </row>
    <row r="16" spans="1:11" x14ac:dyDescent="0.35">
      <c r="A16" s="3">
        <v>45677</v>
      </c>
      <c r="B16">
        <v>7654</v>
      </c>
      <c r="C16">
        <v>20155</v>
      </c>
      <c r="F16">
        <v>27809</v>
      </c>
    </row>
    <row r="17" spans="1:10" x14ac:dyDescent="0.35">
      <c r="A17" s="3">
        <v>45453</v>
      </c>
      <c r="B17">
        <v>7478</v>
      </c>
      <c r="C17">
        <v>8369</v>
      </c>
      <c r="E17">
        <v>7215</v>
      </c>
      <c r="F17">
        <v>23062</v>
      </c>
    </row>
    <row r="18" spans="1:10" x14ac:dyDescent="0.35">
      <c r="A18" s="3">
        <v>45649</v>
      </c>
      <c r="B18">
        <v>7328</v>
      </c>
      <c r="D18">
        <v>7541</v>
      </c>
      <c r="E18">
        <v>4314</v>
      </c>
      <c r="F18">
        <v>19183</v>
      </c>
    </row>
    <row r="19" spans="1:10" x14ac:dyDescent="0.35">
      <c r="A19" s="3">
        <v>45579</v>
      </c>
      <c r="B19">
        <v>7115</v>
      </c>
      <c r="C19">
        <v>16256</v>
      </c>
      <c r="F19">
        <v>23371</v>
      </c>
    </row>
    <row r="20" spans="1:10" x14ac:dyDescent="0.35">
      <c r="A20" s="3">
        <v>45516</v>
      </c>
      <c r="B20">
        <v>7033</v>
      </c>
      <c r="C20">
        <v>12800</v>
      </c>
      <c r="E20">
        <v>6853</v>
      </c>
      <c r="F20">
        <v>26686</v>
      </c>
    </row>
    <row r="21" spans="1:10" x14ac:dyDescent="0.35">
      <c r="A21" s="3">
        <v>45586</v>
      </c>
      <c r="B21">
        <v>6918</v>
      </c>
      <c r="E21">
        <v>23973</v>
      </c>
      <c r="F21">
        <v>30891</v>
      </c>
    </row>
    <row r="22" spans="1:10" x14ac:dyDescent="0.35">
      <c r="A22" s="3">
        <v>45719</v>
      </c>
      <c r="B22">
        <v>6631</v>
      </c>
      <c r="C22">
        <v>6326</v>
      </c>
      <c r="D22">
        <v>7432</v>
      </c>
      <c r="F22">
        <v>20389</v>
      </c>
      <c r="J22" t="s">
        <v>16</v>
      </c>
    </row>
    <row r="23" spans="1:10" x14ac:dyDescent="0.35">
      <c r="A23" s="3">
        <v>45754</v>
      </c>
      <c r="B23">
        <v>6434</v>
      </c>
      <c r="C23">
        <v>8319</v>
      </c>
      <c r="D23">
        <v>4542</v>
      </c>
      <c r="E23">
        <v>1425</v>
      </c>
      <c r="F23">
        <v>20720</v>
      </c>
    </row>
    <row r="24" spans="1:10" x14ac:dyDescent="0.35">
      <c r="A24" s="3">
        <v>45530</v>
      </c>
      <c r="B24">
        <v>5303</v>
      </c>
      <c r="C24">
        <v>5753</v>
      </c>
      <c r="D24">
        <v>1513</v>
      </c>
      <c r="E24">
        <v>8231</v>
      </c>
      <c r="F24">
        <v>20800</v>
      </c>
    </row>
    <row r="25" spans="1:10" x14ac:dyDescent="0.35">
      <c r="A25" s="3">
        <v>45607</v>
      </c>
      <c r="B25">
        <v>5220</v>
      </c>
      <c r="C25">
        <v>9649</v>
      </c>
      <c r="D25">
        <v>4882</v>
      </c>
      <c r="F25">
        <v>19751</v>
      </c>
    </row>
    <row r="26" spans="1:10" x14ac:dyDescent="0.35">
      <c r="A26" s="3">
        <v>45782</v>
      </c>
      <c r="B26">
        <v>5210</v>
      </c>
      <c r="D26">
        <v>2960</v>
      </c>
      <c r="E26">
        <v>7959</v>
      </c>
      <c r="F26">
        <v>16129</v>
      </c>
    </row>
    <row r="27" spans="1:10" x14ac:dyDescent="0.35">
      <c r="A27" s="3">
        <v>45621</v>
      </c>
      <c r="B27">
        <v>5143</v>
      </c>
      <c r="D27">
        <v>8945</v>
      </c>
      <c r="E27">
        <v>14537</v>
      </c>
      <c r="F27">
        <v>28625</v>
      </c>
    </row>
    <row r="28" spans="1:10" x14ac:dyDescent="0.35">
      <c r="A28" s="3">
        <v>45635</v>
      </c>
      <c r="B28">
        <v>4790</v>
      </c>
      <c r="C28">
        <v>6642</v>
      </c>
      <c r="D28">
        <v>949</v>
      </c>
      <c r="E28">
        <v>3461</v>
      </c>
      <c r="F28">
        <v>15842</v>
      </c>
    </row>
    <row r="29" spans="1:10" x14ac:dyDescent="0.35">
      <c r="A29" s="3">
        <v>45740</v>
      </c>
      <c r="B29">
        <v>4189</v>
      </c>
      <c r="D29">
        <v>21227</v>
      </c>
      <c r="F29">
        <v>25416</v>
      </c>
    </row>
    <row r="30" spans="1:10" x14ac:dyDescent="0.35">
      <c r="A30" s="3">
        <v>45628</v>
      </c>
      <c r="B30">
        <v>3929</v>
      </c>
      <c r="D30">
        <v>5402</v>
      </c>
      <c r="E30">
        <v>8999</v>
      </c>
      <c r="F30">
        <v>18330</v>
      </c>
    </row>
    <row r="31" spans="1:10" x14ac:dyDescent="0.35">
      <c r="A31" s="3">
        <v>45726</v>
      </c>
      <c r="B31">
        <v>3555</v>
      </c>
      <c r="C31">
        <v>8723</v>
      </c>
      <c r="D31">
        <v>2535</v>
      </c>
      <c r="E31">
        <v>2994</v>
      </c>
      <c r="F31">
        <v>17807</v>
      </c>
    </row>
    <row r="32" spans="1:10" x14ac:dyDescent="0.35">
      <c r="A32" s="3">
        <v>45502</v>
      </c>
      <c r="B32">
        <v>3445</v>
      </c>
      <c r="C32">
        <v>6039</v>
      </c>
      <c r="D32">
        <v>7537</v>
      </c>
      <c r="F32">
        <v>17021</v>
      </c>
    </row>
    <row r="33" spans="1:6" x14ac:dyDescent="0.35">
      <c r="A33" s="3">
        <v>45600</v>
      </c>
      <c r="B33">
        <v>3056</v>
      </c>
      <c r="C33">
        <v>8687</v>
      </c>
      <c r="D33">
        <v>4942</v>
      </c>
      <c r="F33">
        <v>16685</v>
      </c>
    </row>
    <row r="34" spans="1:6" x14ac:dyDescent="0.35">
      <c r="A34" s="3">
        <v>45509</v>
      </c>
      <c r="B34">
        <v>2543</v>
      </c>
      <c r="C34">
        <v>3497</v>
      </c>
      <c r="D34">
        <v>4847</v>
      </c>
      <c r="E34">
        <v>3213</v>
      </c>
      <c r="F34">
        <v>14100</v>
      </c>
    </row>
    <row r="35" spans="1:6" x14ac:dyDescent="0.35">
      <c r="A35" s="3">
        <v>45488</v>
      </c>
      <c r="B35">
        <v>1826</v>
      </c>
      <c r="C35">
        <v>7092</v>
      </c>
      <c r="E35">
        <v>4967</v>
      </c>
      <c r="F35">
        <v>13885</v>
      </c>
    </row>
    <row r="36" spans="1:6" x14ac:dyDescent="0.35">
      <c r="A36" s="3">
        <v>45747</v>
      </c>
      <c r="B36">
        <v>1567</v>
      </c>
      <c r="C36">
        <v>6272</v>
      </c>
      <c r="D36">
        <v>1660</v>
      </c>
      <c r="E36">
        <v>6128</v>
      </c>
      <c r="F36">
        <v>15627</v>
      </c>
    </row>
    <row r="37" spans="1:6" x14ac:dyDescent="0.35">
      <c r="A37" s="3">
        <v>45670</v>
      </c>
      <c r="B37">
        <v>1001</v>
      </c>
      <c r="C37">
        <v>7346</v>
      </c>
      <c r="D37">
        <v>7471</v>
      </c>
      <c r="E37">
        <v>2919</v>
      </c>
      <c r="F37">
        <v>18737</v>
      </c>
    </row>
    <row r="38" spans="1:6" x14ac:dyDescent="0.35">
      <c r="A38" s="3">
        <v>45761</v>
      </c>
      <c r="D38">
        <v>24995</v>
      </c>
      <c r="F38">
        <v>24995</v>
      </c>
    </row>
    <row r="39" spans="1:6" x14ac:dyDescent="0.35">
      <c r="A39" s="3">
        <v>45558</v>
      </c>
      <c r="C39">
        <v>4942</v>
      </c>
      <c r="E39">
        <v>13040</v>
      </c>
      <c r="F39">
        <v>17982</v>
      </c>
    </row>
    <row r="40" spans="1:6" x14ac:dyDescent="0.35">
      <c r="A40" s="3">
        <v>45705</v>
      </c>
      <c r="C40">
        <v>1290</v>
      </c>
      <c r="D40">
        <v>5101</v>
      </c>
      <c r="E40">
        <v>11468</v>
      </c>
      <c r="F40">
        <v>17859</v>
      </c>
    </row>
    <row r="41" spans="1:6" x14ac:dyDescent="0.35">
      <c r="A41" s="3">
        <v>45565</v>
      </c>
      <c r="C41">
        <v>8530</v>
      </c>
      <c r="E41">
        <v>9904</v>
      </c>
      <c r="F41">
        <v>18434</v>
      </c>
    </row>
    <row r="42" spans="1:6" x14ac:dyDescent="0.35">
      <c r="A42" s="3">
        <v>45460</v>
      </c>
      <c r="C42">
        <v>6073</v>
      </c>
      <c r="D42">
        <v>6728</v>
      </c>
      <c r="E42">
        <v>13130</v>
      </c>
      <c r="F42">
        <v>25931</v>
      </c>
    </row>
    <row r="43" spans="1:6" x14ac:dyDescent="0.35">
      <c r="A43" s="3">
        <v>45684</v>
      </c>
      <c r="C43">
        <v>11789</v>
      </c>
      <c r="D43">
        <v>7260</v>
      </c>
      <c r="E43">
        <v>3643</v>
      </c>
      <c r="F43">
        <v>22692</v>
      </c>
    </row>
    <row r="44" spans="1:6" x14ac:dyDescent="0.35">
      <c r="A44" s="3">
        <v>45733</v>
      </c>
      <c r="D44">
        <v>19728</v>
      </c>
      <c r="E44">
        <v>8292</v>
      </c>
      <c r="F44">
        <v>28020</v>
      </c>
    </row>
    <row r="45" spans="1:6" x14ac:dyDescent="0.35">
      <c r="A45" s="3">
        <v>45474</v>
      </c>
      <c r="C45">
        <v>8463</v>
      </c>
      <c r="D45">
        <v>5442</v>
      </c>
      <c r="E45">
        <v>5928</v>
      </c>
      <c r="F45">
        <v>19833</v>
      </c>
    </row>
    <row r="46" spans="1:6" x14ac:dyDescent="0.35">
      <c r="A46" s="3">
        <v>45698</v>
      </c>
      <c r="C46">
        <v>1020</v>
      </c>
      <c r="D46">
        <v>12622</v>
      </c>
      <c r="F46">
        <v>13642</v>
      </c>
    </row>
    <row r="47" spans="1:6" x14ac:dyDescent="0.35">
      <c r="A47" s="3">
        <v>45481</v>
      </c>
      <c r="C47">
        <v>7151</v>
      </c>
      <c r="D47">
        <v>11378</v>
      </c>
      <c r="F47">
        <v>18529</v>
      </c>
    </row>
    <row r="48" spans="1:6" x14ac:dyDescent="0.35">
      <c r="A48" s="3">
        <v>45642</v>
      </c>
      <c r="C48">
        <v>6275</v>
      </c>
      <c r="D48">
        <v>8527</v>
      </c>
      <c r="E48">
        <v>4802</v>
      </c>
      <c r="F48">
        <v>19604</v>
      </c>
    </row>
    <row r="49" spans="1:6" x14ac:dyDescent="0.35">
      <c r="A49" s="3">
        <v>45768</v>
      </c>
      <c r="C49">
        <v>7058</v>
      </c>
      <c r="E49">
        <v>15012</v>
      </c>
      <c r="F49">
        <v>22070</v>
      </c>
    </row>
    <row r="50" spans="1:6" x14ac:dyDescent="0.35">
      <c r="A50" s="3">
        <v>45775</v>
      </c>
      <c r="C50">
        <v>15937</v>
      </c>
      <c r="D50">
        <v>1512</v>
      </c>
      <c r="F50">
        <v>17449</v>
      </c>
    </row>
    <row r="51" spans="1:6" x14ac:dyDescent="0.35">
      <c r="A51" s="3">
        <v>45537</v>
      </c>
      <c r="C51">
        <v>6593</v>
      </c>
      <c r="D51">
        <v>8228</v>
      </c>
      <c r="E51">
        <v>7396</v>
      </c>
      <c r="F51">
        <v>22217</v>
      </c>
    </row>
    <row r="52" spans="1:6" x14ac:dyDescent="0.35">
      <c r="A52" s="3">
        <v>45656</v>
      </c>
      <c r="C52">
        <v>3079</v>
      </c>
      <c r="D52">
        <v>16577</v>
      </c>
      <c r="E52">
        <v>4214</v>
      </c>
      <c r="F52">
        <v>23870</v>
      </c>
    </row>
    <row r="53" spans="1:6" x14ac:dyDescent="0.35">
      <c r="A53" s="3">
        <v>45789</v>
      </c>
      <c r="C53">
        <v>7436</v>
      </c>
      <c r="D53">
        <v>8146</v>
      </c>
      <c r="E53">
        <v>2805</v>
      </c>
      <c r="F53">
        <v>18387</v>
      </c>
    </row>
    <row r="54" spans="1:6" x14ac:dyDescent="0.35">
      <c r="A54" s="3">
        <v>45614</v>
      </c>
      <c r="C54">
        <v>6384</v>
      </c>
      <c r="D54">
        <v>9648</v>
      </c>
      <c r="E54">
        <v>5206</v>
      </c>
      <c r="F54">
        <v>21238</v>
      </c>
    </row>
    <row r="55" spans="1:6" x14ac:dyDescent="0.35">
      <c r="A55" s="3" t="s">
        <v>13</v>
      </c>
      <c r="B55">
        <v>230642</v>
      </c>
      <c r="C55">
        <v>303407</v>
      </c>
      <c r="D55">
        <v>290487</v>
      </c>
      <c r="E55">
        <v>261862</v>
      </c>
      <c r="F55">
        <v>1086398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EA47C-E141-48B7-8F54-353F558D438C}">
  <dimension ref="A3:K55"/>
  <sheetViews>
    <sheetView workbookViewId="0">
      <selection activeCell="K4" sqref="K4"/>
    </sheetView>
  </sheetViews>
  <sheetFormatPr defaultRowHeight="14.5" x14ac:dyDescent="0.35"/>
  <cols>
    <col min="1" max="1" width="23.7265625" bestFit="1" customWidth="1"/>
    <col min="2" max="2" width="15" bestFit="1" customWidth="1"/>
    <col min="3" max="3" width="6.81640625" bestFit="1" customWidth="1"/>
    <col min="4" max="4" width="7.54296875" bestFit="1" customWidth="1"/>
    <col min="5" max="5" width="8.90625" bestFit="1" customWidth="1"/>
    <col min="6" max="6" width="10.08984375" bestFit="1" customWidth="1"/>
  </cols>
  <sheetData>
    <row r="3" spans="1:11" x14ac:dyDescent="0.35">
      <c r="A3" s="2" t="s">
        <v>15</v>
      </c>
      <c r="B3" s="2" t="s">
        <v>14</v>
      </c>
      <c r="K3" t="s">
        <v>20</v>
      </c>
    </row>
    <row r="4" spans="1:11" x14ac:dyDescent="0.35">
      <c r="A4" s="2" t="s">
        <v>12</v>
      </c>
      <c r="B4" t="s">
        <v>9</v>
      </c>
      <c r="C4" t="s">
        <v>8</v>
      </c>
      <c r="D4" t="s">
        <v>10</v>
      </c>
      <c r="E4" t="s">
        <v>7</v>
      </c>
      <c r="F4" t="s">
        <v>13</v>
      </c>
    </row>
    <row r="5" spans="1:11" x14ac:dyDescent="0.35">
      <c r="A5" s="3">
        <v>45446</v>
      </c>
      <c r="B5">
        <v>15994</v>
      </c>
      <c r="C5">
        <v>7432</v>
      </c>
      <c r="E5">
        <v>3777</v>
      </c>
      <c r="F5">
        <v>27203</v>
      </c>
    </row>
    <row r="6" spans="1:11" x14ac:dyDescent="0.35">
      <c r="A6" s="3">
        <v>45712</v>
      </c>
      <c r="B6">
        <v>15359</v>
      </c>
      <c r="E6">
        <v>15087</v>
      </c>
      <c r="F6">
        <v>30446</v>
      </c>
    </row>
    <row r="7" spans="1:11" x14ac:dyDescent="0.35">
      <c r="A7" s="3">
        <v>45691</v>
      </c>
      <c r="B7">
        <v>12447</v>
      </c>
      <c r="C7">
        <v>16086</v>
      </c>
      <c r="F7">
        <v>28533</v>
      </c>
    </row>
    <row r="8" spans="1:11" x14ac:dyDescent="0.35">
      <c r="A8" s="3">
        <v>45593</v>
      </c>
      <c r="B8">
        <v>12442</v>
      </c>
      <c r="D8">
        <v>14812</v>
      </c>
      <c r="F8">
        <v>27254</v>
      </c>
    </row>
    <row r="9" spans="1:11" x14ac:dyDescent="0.35">
      <c r="A9" s="3">
        <v>45544</v>
      </c>
      <c r="B9">
        <v>11613</v>
      </c>
      <c r="D9">
        <v>6121</v>
      </c>
      <c r="E9">
        <v>7442</v>
      </c>
      <c r="F9">
        <v>25176</v>
      </c>
    </row>
    <row r="10" spans="1:11" x14ac:dyDescent="0.35">
      <c r="A10" s="3">
        <v>45572</v>
      </c>
      <c r="B10">
        <v>10348</v>
      </c>
      <c r="D10">
        <v>2421</v>
      </c>
      <c r="E10">
        <v>4808</v>
      </c>
      <c r="F10">
        <v>17577</v>
      </c>
    </row>
    <row r="11" spans="1:11" x14ac:dyDescent="0.35">
      <c r="A11" s="3">
        <v>45523</v>
      </c>
      <c r="B11">
        <v>9427</v>
      </c>
      <c r="E11">
        <v>13835</v>
      </c>
      <c r="F11">
        <v>23262</v>
      </c>
    </row>
    <row r="12" spans="1:11" x14ac:dyDescent="0.35">
      <c r="A12" s="3">
        <v>45551</v>
      </c>
      <c r="B12">
        <v>9308</v>
      </c>
      <c r="C12">
        <v>3925</v>
      </c>
      <c r="D12">
        <v>2199</v>
      </c>
      <c r="F12">
        <v>15432</v>
      </c>
    </row>
    <row r="13" spans="1:11" x14ac:dyDescent="0.35">
      <c r="A13" s="3">
        <v>45495</v>
      </c>
      <c r="B13">
        <v>9082</v>
      </c>
      <c r="C13">
        <v>7733</v>
      </c>
      <c r="D13">
        <v>15403</v>
      </c>
      <c r="F13">
        <v>32218</v>
      </c>
    </row>
    <row r="14" spans="1:11" x14ac:dyDescent="0.35">
      <c r="A14" s="3">
        <v>45467</v>
      </c>
      <c r="B14">
        <v>8653</v>
      </c>
      <c r="C14">
        <v>15084</v>
      </c>
      <c r="E14">
        <v>4885</v>
      </c>
      <c r="F14">
        <v>28622</v>
      </c>
    </row>
    <row r="15" spans="1:11" x14ac:dyDescent="0.35">
      <c r="A15" s="3">
        <v>45663</v>
      </c>
      <c r="B15">
        <v>8601</v>
      </c>
      <c r="C15">
        <v>9202</v>
      </c>
      <c r="D15">
        <v>9254</v>
      </c>
      <c r="F15">
        <v>27057</v>
      </c>
    </row>
    <row r="16" spans="1:11" x14ac:dyDescent="0.35">
      <c r="A16" s="3">
        <v>45677</v>
      </c>
      <c r="B16">
        <v>7654</v>
      </c>
      <c r="C16">
        <v>20155</v>
      </c>
      <c r="F16">
        <v>27809</v>
      </c>
    </row>
    <row r="17" spans="1:10" x14ac:dyDescent="0.35">
      <c r="A17" s="3">
        <v>45453</v>
      </c>
      <c r="B17">
        <v>7478</v>
      </c>
      <c r="C17">
        <v>8369</v>
      </c>
      <c r="E17">
        <v>7215</v>
      </c>
      <c r="F17">
        <v>23062</v>
      </c>
    </row>
    <row r="18" spans="1:10" x14ac:dyDescent="0.35">
      <c r="A18" s="3">
        <v>45649</v>
      </c>
      <c r="B18">
        <v>7328</v>
      </c>
      <c r="D18">
        <v>7541</v>
      </c>
      <c r="E18">
        <v>4314</v>
      </c>
      <c r="F18">
        <v>19183</v>
      </c>
    </row>
    <row r="19" spans="1:10" x14ac:dyDescent="0.35">
      <c r="A19" s="3">
        <v>45579</v>
      </c>
      <c r="B19">
        <v>7115</v>
      </c>
      <c r="C19">
        <v>16256</v>
      </c>
      <c r="F19">
        <v>23371</v>
      </c>
    </row>
    <row r="20" spans="1:10" x14ac:dyDescent="0.35">
      <c r="A20" s="3">
        <v>45516</v>
      </c>
      <c r="B20">
        <v>7033</v>
      </c>
      <c r="C20">
        <v>12800</v>
      </c>
      <c r="E20">
        <v>6853</v>
      </c>
      <c r="F20">
        <v>26686</v>
      </c>
    </row>
    <row r="21" spans="1:10" x14ac:dyDescent="0.35">
      <c r="A21" s="3">
        <v>45586</v>
      </c>
      <c r="B21">
        <v>6918</v>
      </c>
      <c r="E21">
        <v>23973</v>
      </c>
      <c r="F21">
        <v>30891</v>
      </c>
    </row>
    <row r="22" spans="1:10" x14ac:dyDescent="0.35">
      <c r="A22" s="3">
        <v>45719</v>
      </c>
      <c r="B22">
        <v>6631</v>
      </c>
      <c r="C22">
        <v>6326</v>
      </c>
      <c r="D22">
        <v>7432</v>
      </c>
      <c r="F22">
        <v>20389</v>
      </c>
      <c r="J22" t="s">
        <v>16</v>
      </c>
    </row>
    <row r="23" spans="1:10" x14ac:dyDescent="0.35">
      <c r="A23" s="3">
        <v>45754</v>
      </c>
      <c r="B23">
        <v>6434</v>
      </c>
      <c r="C23">
        <v>8319</v>
      </c>
      <c r="D23">
        <v>4542</v>
      </c>
      <c r="E23">
        <v>1425</v>
      </c>
      <c r="F23">
        <v>20720</v>
      </c>
    </row>
    <row r="24" spans="1:10" x14ac:dyDescent="0.35">
      <c r="A24" s="3">
        <v>45530</v>
      </c>
      <c r="B24">
        <v>5303</v>
      </c>
      <c r="C24">
        <v>5753</v>
      </c>
      <c r="D24">
        <v>1513</v>
      </c>
      <c r="E24">
        <v>8231</v>
      </c>
      <c r="F24">
        <v>20800</v>
      </c>
    </row>
    <row r="25" spans="1:10" x14ac:dyDescent="0.35">
      <c r="A25" s="3">
        <v>45607</v>
      </c>
      <c r="B25">
        <v>5220</v>
      </c>
      <c r="C25">
        <v>9649</v>
      </c>
      <c r="D25">
        <v>4882</v>
      </c>
      <c r="F25">
        <v>19751</v>
      </c>
    </row>
    <row r="26" spans="1:10" x14ac:dyDescent="0.35">
      <c r="A26" s="3">
        <v>45782</v>
      </c>
      <c r="B26">
        <v>5210</v>
      </c>
      <c r="D26">
        <v>2960</v>
      </c>
      <c r="E26">
        <v>7959</v>
      </c>
      <c r="F26">
        <v>16129</v>
      </c>
    </row>
    <row r="27" spans="1:10" x14ac:dyDescent="0.35">
      <c r="A27" s="3">
        <v>45621</v>
      </c>
      <c r="B27">
        <v>5143</v>
      </c>
      <c r="D27">
        <v>8945</v>
      </c>
      <c r="E27">
        <v>14537</v>
      </c>
      <c r="F27">
        <v>28625</v>
      </c>
    </row>
    <row r="28" spans="1:10" x14ac:dyDescent="0.35">
      <c r="A28" s="3">
        <v>45635</v>
      </c>
      <c r="B28">
        <v>4790</v>
      </c>
      <c r="C28">
        <v>6642</v>
      </c>
      <c r="D28">
        <v>949</v>
      </c>
      <c r="E28">
        <v>3461</v>
      </c>
      <c r="F28">
        <v>15842</v>
      </c>
    </row>
    <row r="29" spans="1:10" x14ac:dyDescent="0.35">
      <c r="A29" s="3">
        <v>45740</v>
      </c>
      <c r="B29">
        <v>4189</v>
      </c>
      <c r="D29">
        <v>21227</v>
      </c>
      <c r="F29">
        <v>25416</v>
      </c>
    </row>
    <row r="30" spans="1:10" x14ac:dyDescent="0.35">
      <c r="A30" s="3">
        <v>45628</v>
      </c>
      <c r="B30">
        <v>3929</v>
      </c>
      <c r="D30">
        <v>5402</v>
      </c>
      <c r="E30">
        <v>8999</v>
      </c>
      <c r="F30">
        <v>18330</v>
      </c>
    </row>
    <row r="31" spans="1:10" x14ac:dyDescent="0.35">
      <c r="A31" s="3">
        <v>45726</v>
      </c>
      <c r="B31">
        <v>3555</v>
      </c>
      <c r="C31">
        <v>8723</v>
      </c>
      <c r="D31">
        <v>2535</v>
      </c>
      <c r="E31">
        <v>2994</v>
      </c>
      <c r="F31">
        <v>17807</v>
      </c>
    </row>
    <row r="32" spans="1:10" x14ac:dyDescent="0.35">
      <c r="A32" s="3">
        <v>45502</v>
      </c>
      <c r="B32">
        <v>3445</v>
      </c>
      <c r="C32">
        <v>6039</v>
      </c>
      <c r="D32">
        <v>7537</v>
      </c>
      <c r="F32">
        <v>17021</v>
      </c>
    </row>
    <row r="33" spans="1:6" x14ac:dyDescent="0.35">
      <c r="A33" s="3">
        <v>45600</v>
      </c>
      <c r="B33">
        <v>3056</v>
      </c>
      <c r="C33">
        <v>8687</v>
      </c>
      <c r="D33">
        <v>4942</v>
      </c>
      <c r="F33">
        <v>16685</v>
      </c>
    </row>
    <row r="34" spans="1:6" x14ac:dyDescent="0.35">
      <c r="A34" s="3">
        <v>45509</v>
      </c>
      <c r="B34">
        <v>2543</v>
      </c>
      <c r="C34">
        <v>3497</v>
      </c>
      <c r="D34">
        <v>4847</v>
      </c>
      <c r="E34">
        <v>3213</v>
      </c>
      <c r="F34">
        <v>14100</v>
      </c>
    </row>
    <row r="35" spans="1:6" x14ac:dyDescent="0.35">
      <c r="A35" s="3">
        <v>45488</v>
      </c>
      <c r="B35">
        <v>1826</v>
      </c>
      <c r="C35">
        <v>7092</v>
      </c>
      <c r="E35">
        <v>4967</v>
      </c>
      <c r="F35">
        <v>13885</v>
      </c>
    </row>
    <row r="36" spans="1:6" x14ac:dyDescent="0.35">
      <c r="A36" s="3">
        <v>45747</v>
      </c>
      <c r="B36">
        <v>1567</v>
      </c>
      <c r="C36">
        <v>6272</v>
      </c>
      <c r="D36">
        <v>1660</v>
      </c>
      <c r="E36">
        <v>6128</v>
      </c>
      <c r="F36">
        <v>15627</v>
      </c>
    </row>
    <row r="37" spans="1:6" x14ac:dyDescent="0.35">
      <c r="A37" s="3">
        <v>45670</v>
      </c>
      <c r="B37">
        <v>1001</v>
      </c>
      <c r="C37">
        <v>7346</v>
      </c>
      <c r="D37">
        <v>7471</v>
      </c>
      <c r="E37">
        <v>2919</v>
      </c>
      <c r="F37">
        <v>18737</v>
      </c>
    </row>
    <row r="38" spans="1:6" x14ac:dyDescent="0.35">
      <c r="A38" s="3">
        <v>45761</v>
      </c>
      <c r="D38">
        <v>24995</v>
      </c>
      <c r="F38">
        <v>24995</v>
      </c>
    </row>
    <row r="39" spans="1:6" x14ac:dyDescent="0.35">
      <c r="A39" s="3">
        <v>45558</v>
      </c>
      <c r="C39">
        <v>4942</v>
      </c>
      <c r="E39">
        <v>13040</v>
      </c>
      <c r="F39">
        <v>17982</v>
      </c>
    </row>
    <row r="40" spans="1:6" x14ac:dyDescent="0.35">
      <c r="A40" s="3">
        <v>45705</v>
      </c>
      <c r="C40">
        <v>1290</v>
      </c>
      <c r="D40">
        <v>5101</v>
      </c>
      <c r="E40">
        <v>11468</v>
      </c>
      <c r="F40">
        <v>17859</v>
      </c>
    </row>
    <row r="41" spans="1:6" x14ac:dyDescent="0.35">
      <c r="A41" s="3">
        <v>45565</v>
      </c>
      <c r="C41">
        <v>8530</v>
      </c>
      <c r="E41">
        <v>9904</v>
      </c>
      <c r="F41">
        <v>18434</v>
      </c>
    </row>
    <row r="42" spans="1:6" x14ac:dyDescent="0.35">
      <c r="A42" s="3">
        <v>45460</v>
      </c>
      <c r="C42">
        <v>6073</v>
      </c>
      <c r="D42">
        <v>6728</v>
      </c>
      <c r="E42">
        <v>13130</v>
      </c>
      <c r="F42">
        <v>25931</v>
      </c>
    </row>
    <row r="43" spans="1:6" x14ac:dyDescent="0.35">
      <c r="A43" s="3">
        <v>45684</v>
      </c>
      <c r="C43">
        <v>11789</v>
      </c>
      <c r="D43">
        <v>7260</v>
      </c>
      <c r="E43">
        <v>3643</v>
      </c>
      <c r="F43">
        <v>22692</v>
      </c>
    </row>
    <row r="44" spans="1:6" x14ac:dyDescent="0.35">
      <c r="A44" s="3">
        <v>45733</v>
      </c>
      <c r="D44">
        <v>19728</v>
      </c>
      <c r="E44">
        <v>8292</v>
      </c>
      <c r="F44">
        <v>28020</v>
      </c>
    </row>
    <row r="45" spans="1:6" x14ac:dyDescent="0.35">
      <c r="A45" s="3">
        <v>45474</v>
      </c>
      <c r="C45">
        <v>8463</v>
      </c>
      <c r="D45">
        <v>5442</v>
      </c>
      <c r="E45">
        <v>5928</v>
      </c>
      <c r="F45">
        <v>19833</v>
      </c>
    </row>
    <row r="46" spans="1:6" x14ac:dyDescent="0.35">
      <c r="A46" s="3">
        <v>45698</v>
      </c>
      <c r="C46">
        <v>1020</v>
      </c>
      <c r="D46">
        <v>12622</v>
      </c>
      <c r="F46">
        <v>13642</v>
      </c>
    </row>
    <row r="47" spans="1:6" x14ac:dyDescent="0.35">
      <c r="A47" s="3">
        <v>45481</v>
      </c>
      <c r="C47">
        <v>7151</v>
      </c>
      <c r="D47">
        <v>11378</v>
      </c>
      <c r="F47">
        <v>18529</v>
      </c>
    </row>
    <row r="48" spans="1:6" x14ac:dyDescent="0.35">
      <c r="A48" s="3">
        <v>45642</v>
      </c>
      <c r="C48">
        <v>6275</v>
      </c>
      <c r="D48">
        <v>8527</v>
      </c>
      <c r="E48">
        <v>4802</v>
      </c>
      <c r="F48">
        <v>19604</v>
      </c>
    </row>
    <row r="49" spans="1:6" x14ac:dyDescent="0.35">
      <c r="A49" s="3">
        <v>45768</v>
      </c>
      <c r="C49">
        <v>7058</v>
      </c>
      <c r="E49">
        <v>15012</v>
      </c>
      <c r="F49">
        <v>22070</v>
      </c>
    </row>
    <row r="50" spans="1:6" x14ac:dyDescent="0.35">
      <c r="A50" s="3">
        <v>45775</v>
      </c>
      <c r="C50">
        <v>15937</v>
      </c>
      <c r="D50">
        <v>1512</v>
      </c>
      <c r="F50">
        <v>17449</v>
      </c>
    </row>
    <row r="51" spans="1:6" x14ac:dyDescent="0.35">
      <c r="A51" s="3">
        <v>45537</v>
      </c>
      <c r="C51">
        <v>6593</v>
      </c>
      <c r="D51">
        <v>8228</v>
      </c>
      <c r="E51">
        <v>7396</v>
      </c>
      <c r="F51">
        <v>22217</v>
      </c>
    </row>
    <row r="52" spans="1:6" x14ac:dyDescent="0.35">
      <c r="A52" s="3">
        <v>45656</v>
      </c>
      <c r="C52">
        <v>3079</v>
      </c>
      <c r="D52">
        <v>16577</v>
      </c>
      <c r="E52">
        <v>4214</v>
      </c>
      <c r="F52">
        <v>23870</v>
      </c>
    </row>
    <row r="53" spans="1:6" x14ac:dyDescent="0.35">
      <c r="A53" s="3">
        <v>45789</v>
      </c>
      <c r="C53">
        <v>7436</v>
      </c>
      <c r="D53">
        <v>8146</v>
      </c>
      <c r="E53">
        <v>2805</v>
      </c>
      <c r="F53">
        <v>18387</v>
      </c>
    </row>
    <row r="54" spans="1:6" x14ac:dyDescent="0.35">
      <c r="A54" s="3">
        <v>45614</v>
      </c>
      <c r="C54">
        <v>6384</v>
      </c>
      <c r="D54">
        <v>9648</v>
      </c>
      <c r="E54">
        <v>5206</v>
      </c>
      <c r="F54">
        <v>21238</v>
      </c>
    </row>
    <row r="55" spans="1:6" x14ac:dyDescent="0.35">
      <c r="A55" s="3" t="s">
        <v>13</v>
      </c>
      <c r="B55">
        <v>230642</v>
      </c>
      <c r="C55">
        <v>303407</v>
      </c>
      <c r="D55">
        <v>290487</v>
      </c>
      <c r="E55">
        <v>261862</v>
      </c>
      <c r="F55">
        <v>1086398</v>
      </c>
    </row>
  </sheetData>
  <conditionalFormatting pivot="1" sqref="F5:F54">
    <cfRule type="top10" dxfId="3" priority="1" rank="1"/>
  </conditionalFormatting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F882C-78E7-44E1-9F81-0C101D48A8F9}">
  <dimension ref="A3:N55"/>
  <sheetViews>
    <sheetView workbookViewId="0">
      <selection activeCell="N22" sqref="N22"/>
    </sheetView>
  </sheetViews>
  <sheetFormatPr defaultRowHeight="14.5" x14ac:dyDescent="0.35"/>
  <cols>
    <col min="1" max="1" width="23.7265625" bestFit="1" customWidth="1"/>
    <col min="2" max="2" width="15.6328125" bestFit="1" customWidth="1"/>
    <col min="3" max="3" width="8.08984375" bestFit="1" customWidth="1"/>
    <col min="4" max="4" width="6.81640625" bestFit="1" customWidth="1"/>
    <col min="5" max="5" width="8.08984375" bestFit="1" customWidth="1"/>
    <col min="6" max="6" width="10.36328125" bestFit="1" customWidth="1"/>
  </cols>
  <sheetData>
    <row r="3" spans="1:6" x14ac:dyDescent="0.35">
      <c r="A3" s="2" t="s">
        <v>15</v>
      </c>
      <c r="B3" s="2" t="s">
        <v>14</v>
      </c>
    </row>
    <row r="4" spans="1:6" x14ac:dyDescent="0.35">
      <c r="A4" s="2" t="s">
        <v>12</v>
      </c>
      <c r="B4" t="s">
        <v>7</v>
      </c>
      <c r="C4" t="s">
        <v>10</v>
      </c>
      <c r="D4" t="s">
        <v>8</v>
      </c>
      <c r="E4" t="s">
        <v>9</v>
      </c>
      <c r="F4" t="s">
        <v>13</v>
      </c>
    </row>
    <row r="5" spans="1:6" x14ac:dyDescent="0.35">
      <c r="A5" s="3">
        <v>45446</v>
      </c>
      <c r="B5">
        <v>3777</v>
      </c>
      <c r="D5">
        <v>7432</v>
      </c>
      <c r="E5">
        <v>15994</v>
      </c>
      <c r="F5">
        <v>27203</v>
      </c>
    </row>
    <row r="6" spans="1:6" x14ac:dyDescent="0.35">
      <c r="A6" s="3">
        <v>45453</v>
      </c>
      <c r="B6">
        <v>7215</v>
      </c>
      <c r="D6">
        <v>8369</v>
      </c>
      <c r="E6">
        <v>7478</v>
      </c>
      <c r="F6">
        <v>23062</v>
      </c>
    </row>
    <row r="7" spans="1:6" x14ac:dyDescent="0.35">
      <c r="A7" s="3">
        <v>45460</v>
      </c>
      <c r="B7">
        <v>13130</v>
      </c>
      <c r="C7">
        <v>6728</v>
      </c>
      <c r="D7">
        <v>6073</v>
      </c>
      <c r="F7">
        <v>25931</v>
      </c>
    </row>
    <row r="8" spans="1:6" x14ac:dyDescent="0.35">
      <c r="A8" s="3">
        <v>45467</v>
      </c>
      <c r="B8">
        <v>4885</v>
      </c>
      <c r="D8">
        <v>15084</v>
      </c>
      <c r="E8">
        <v>8653</v>
      </c>
      <c r="F8">
        <v>28622</v>
      </c>
    </row>
    <row r="9" spans="1:6" x14ac:dyDescent="0.35">
      <c r="A9" s="3">
        <v>45474</v>
      </c>
      <c r="B9">
        <v>5928</v>
      </c>
      <c r="C9">
        <v>5442</v>
      </c>
      <c r="D9">
        <v>8463</v>
      </c>
      <c r="F9">
        <v>19833</v>
      </c>
    </row>
    <row r="10" spans="1:6" x14ac:dyDescent="0.35">
      <c r="A10" s="3">
        <v>45481</v>
      </c>
      <c r="C10">
        <v>11378</v>
      </c>
      <c r="D10">
        <v>7151</v>
      </c>
      <c r="F10">
        <v>18529</v>
      </c>
    </row>
    <row r="11" spans="1:6" x14ac:dyDescent="0.35">
      <c r="A11" s="3">
        <v>45488</v>
      </c>
      <c r="B11">
        <v>4967</v>
      </c>
      <c r="D11">
        <v>7092</v>
      </c>
      <c r="E11">
        <v>1826</v>
      </c>
      <c r="F11">
        <v>13885</v>
      </c>
    </row>
    <row r="12" spans="1:6" x14ac:dyDescent="0.35">
      <c r="A12" s="3">
        <v>45495</v>
      </c>
      <c r="C12">
        <v>15403</v>
      </c>
      <c r="D12">
        <v>7733</v>
      </c>
      <c r="E12">
        <v>9082</v>
      </c>
      <c r="F12">
        <v>32218</v>
      </c>
    </row>
    <row r="13" spans="1:6" x14ac:dyDescent="0.35">
      <c r="A13" s="3">
        <v>45502</v>
      </c>
      <c r="C13">
        <v>7537</v>
      </c>
      <c r="D13">
        <v>6039</v>
      </c>
      <c r="E13">
        <v>3445</v>
      </c>
      <c r="F13">
        <v>17021</v>
      </c>
    </row>
    <row r="14" spans="1:6" x14ac:dyDescent="0.35">
      <c r="A14" s="3">
        <v>45509</v>
      </c>
      <c r="B14">
        <v>3213</v>
      </c>
      <c r="C14">
        <v>4847</v>
      </c>
      <c r="D14">
        <v>3497</v>
      </c>
      <c r="E14">
        <v>2543</v>
      </c>
      <c r="F14">
        <v>14100</v>
      </c>
    </row>
    <row r="15" spans="1:6" x14ac:dyDescent="0.35">
      <c r="A15" s="3">
        <v>45516</v>
      </c>
      <c r="B15">
        <v>6853</v>
      </c>
      <c r="D15">
        <v>12800</v>
      </c>
      <c r="E15">
        <v>7033</v>
      </c>
      <c r="F15">
        <v>26686</v>
      </c>
    </row>
    <row r="16" spans="1:6" x14ac:dyDescent="0.35">
      <c r="A16" s="3">
        <v>45523</v>
      </c>
      <c r="B16">
        <v>13835</v>
      </c>
      <c r="E16">
        <v>9427</v>
      </c>
      <c r="F16">
        <v>23262</v>
      </c>
    </row>
    <row r="17" spans="1:14" x14ac:dyDescent="0.35">
      <c r="A17" s="3">
        <v>45530</v>
      </c>
      <c r="B17">
        <v>8231</v>
      </c>
      <c r="C17">
        <v>1513</v>
      </c>
      <c r="D17">
        <v>5753</v>
      </c>
      <c r="E17">
        <v>5303</v>
      </c>
      <c r="F17">
        <v>20800</v>
      </c>
    </row>
    <row r="18" spans="1:14" x14ac:dyDescent="0.35">
      <c r="A18" s="3">
        <v>45537</v>
      </c>
      <c r="B18">
        <v>7396</v>
      </c>
      <c r="C18">
        <v>8228</v>
      </c>
      <c r="D18">
        <v>6593</v>
      </c>
      <c r="F18">
        <v>22217</v>
      </c>
    </row>
    <row r="19" spans="1:14" x14ac:dyDescent="0.35">
      <c r="A19" s="3">
        <v>45544</v>
      </c>
      <c r="B19">
        <v>7442</v>
      </c>
      <c r="C19">
        <v>6121</v>
      </c>
      <c r="E19">
        <v>11613</v>
      </c>
      <c r="F19">
        <v>25176</v>
      </c>
    </row>
    <row r="20" spans="1:14" x14ac:dyDescent="0.35">
      <c r="A20" s="3">
        <v>45551</v>
      </c>
      <c r="C20">
        <v>2199</v>
      </c>
      <c r="D20">
        <v>3925</v>
      </c>
      <c r="E20">
        <v>9308</v>
      </c>
      <c r="F20">
        <v>15432</v>
      </c>
    </row>
    <row r="21" spans="1:14" x14ac:dyDescent="0.35">
      <c r="A21" s="3">
        <v>45558</v>
      </c>
      <c r="B21">
        <v>13040</v>
      </c>
      <c r="D21">
        <v>4942</v>
      </c>
      <c r="F21">
        <v>17982</v>
      </c>
    </row>
    <row r="22" spans="1:14" x14ac:dyDescent="0.35">
      <c r="A22" s="3">
        <v>45565</v>
      </c>
      <c r="B22">
        <v>9904</v>
      </c>
      <c r="D22">
        <v>8530</v>
      </c>
      <c r="F22">
        <v>18434</v>
      </c>
      <c r="N22" t="s">
        <v>19</v>
      </c>
    </row>
    <row r="23" spans="1:14" x14ac:dyDescent="0.35">
      <c r="A23" s="3">
        <v>45572</v>
      </c>
      <c r="B23">
        <v>4808</v>
      </c>
      <c r="C23">
        <v>2421</v>
      </c>
      <c r="E23">
        <v>10348</v>
      </c>
      <c r="F23">
        <v>17577</v>
      </c>
    </row>
    <row r="24" spans="1:14" x14ac:dyDescent="0.35">
      <c r="A24" s="3">
        <v>45579</v>
      </c>
      <c r="D24">
        <v>16256</v>
      </c>
      <c r="E24">
        <v>7115</v>
      </c>
      <c r="F24">
        <v>23371</v>
      </c>
    </row>
    <row r="25" spans="1:14" x14ac:dyDescent="0.35">
      <c r="A25" s="3">
        <v>45586</v>
      </c>
      <c r="B25">
        <v>23973</v>
      </c>
      <c r="E25">
        <v>6918</v>
      </c>
      <c r="F25">
        <v>30891</v>
      </c>
    </row>
    <row r="26" spans="1:14" x14ac:dyDescent="0.35">
      <c r="A26" s="3">
        <v>45593</v>
      </c>
      <c r="C26">
        <v>14812</v>
      </c>
      <c r="E26">
        <v>12442</v>
      </c>
      <c r="F26">
        <v>27254</v>
      </c>
    </row>
    <row r="27" spans="1:14" x14ac:dyDescent="0.35">
      <c r="A27" s="3">
        <v>45600</v>
      </c>
      <c r="C27">
        <v>4942</v>
      </c>
      <c r="D27">
        <v>8687</v>
      </c>
      <c r="E27">
        <v>3056</v>
      </c>
      <c r="F27">
        <v>16685</v>
      </c>
    </row>
    <row r="28" spans="1:14" x14ac:dyDescent="0.35">
      <c r="A28" s="3">
        <v>45607</v>
      </c>
      <c r="C28">
        <v>4882</v>
      </c>
      <c r="D28">
        <v>9649</v>
      </c>
      <c r="E28">
        <v>5220</v>
      </c>
      <c r="F28">
        <v>19751</v>
      </c>
    </row>
    <row r="29" spans="1:14" x14ac:dyDescent="0.35">
      <c r="A29" s="3">
        <v>45614</v>
      </c>
      <c r="B29">
        <v>5206</v>
      </c>
      <c r="C29">
        <v>9648</v>
      </c>
      <c r="D29">
        <v>6384</v>
      </c>
      <c r="F29">
        <v>21238</v>
      </c>
    </row>
    <row r="30" spans="1:14" x14ac:dyDescent="0.35">
      <c r="A30" s="3">
        <v>45621</v>
      </c>
      <c r="B30">
        <v>14537</v>
      </c>
      <c r="C30">
        <v>8945</v>
      </c>
      <c r="E30">
        <v>5143</v>
      </c>
      <c r="F30">
        <v>28625</v>
      </c>
    </row>
    <row r="31" spans="1:14" x14ac:dyDescent="0.35">
      <c r="A31" s="3">
        <v>45628</v>
      </c>
      <c r="B31">
        <v>8999</v>
      </c>
      <c r="C31">
        <v>5402</v>
      </c>
      <c r="E31">
        <v>3929</v>
      </c>
      <c r="F31">
        <v>18330</v>
      </c>
    </row>
    <row r="32" spans="1:14" x14ac:dyDescent="0.35">
      <c r="A32" s="3">
        <v>45635</v>
      </c>
      <c r="B32">
        <v>3461</v>
      </c>
      <c r="C32">
        <v>949</v>
      </c>
      <c r="D32">
        <v>6642</v>
      </c>
      <c r="E32">
        <v>4790</v>
      </c>
      <c r="F32">
        <v>15842</v>
      </c>
    </row>
    <row r="33" spans="1:6" x14ac:dyDescent="0.35">
      <c r="A33" s="3">
        <v>45642</v>
      </c>
      <c r="B33">
        <v>4802</v>
      </c>
      <c r="C33">
        <v>8527</v>
      </c>
      <c r="D33">
        <v>6275</v>
      </c>
      <c r="F33">
        <v>19604</v>
      </c>
    </row>
    <row r="34" spans="1:6" x14ac:dyDescent="0.35">
      <c r="A34" s="3">
        <v>45649</v>
      </c>
      <c r="B34">
        <v>4314</v>
      </c>
      <c r="C34">
        <v>7541</v>
      </c>
      <c r="E34">
        <v>7328</v>
      </c>
      <c r="F34">
        <v>19183</v>
      </c>
    </row>
    <row r="35" spans="1:6" x14ac:dyDescent="0.35">
      <c r="A35" s="3">
        <v>45656</v>
      </c>
      <c r="B35">
        <v>4214</v>
      </c>
      <c r="C35">
        <v>16577</v>
      </c>
      <c r="D35">
        <v>3079</v>
      </c>
      <c r="F35">
        <v>23870</v>
      </c>
    </row>
    <row r="36" spans="1:6" x14ac:dyDescent="0.35">
      <c r="A36" s="3">
        <v>45663</v>
      </c>
      <c r="C36">
        <v>9254</v>
      </c>
      <c r="D36">
        <v>9202</v>
      </c>
      <c r="E36">
        <v>8601</v>
      </c>
      <c r="F36">
        <v>27057</v>
      </c>
    </row>
    <row r="37" spans="1:6" x14ac:dyDescent="0.35">
      <c r="A37" s="3">
        <v>45670</v>
      </c>
      <c r="B37">
        <v>2919</v>
      </c>
      <c r="C37">
        <v>7471</v>
      </c>
      <c r="D37">
        <v>7346</v>
      </c>
      <c r="E37">
        <v>1001</v>
      </c>
      <c r="F37">
        <v>18737</v>
      </c>
    </row>
    <row r="38" spans="1:6" x14ac:dyDescent="0.35">
      <c r="A38" s="3">
        <v>45677</v>
      </c>
      <c r="D38">
        <v>20155</v>
      </c>
      <c r="E38">
        <v>7654</v>
      </c>
      <c r="F38">
        <v>27809</v>
      </c>
    </row>
    <row r="39" spans="1:6" x14ac:dyDescent="0.35">
      <c r="A39" s="3">
        <v>45684</v>
      </c>
      <c r="B39">
        <v>3643</v>
      </c>
      <c r="C39">
        <v>7260</v>
      </c>
      <c r="D39">
        <v>11789</v>
      </c>
      <c r="F39">
        <v>22692</v>
      </c>
    </row>
    <row r="40" spans="1:6" x14ac:dyDescent="0.35">
      <c r="A40" s="3">
        <v>45691</v>
      </c>
      <c r="D40">
        <v>16086</v>
      </c>
      <c r="E40">
        <v>12447</v>
      </c>
      <c r="F40">
        <v>28533</v>
      </c>
    </row>
    <row r="41" spans="1:6" x14ac:dyDescent="0.35">
      <c r="A41" s="3">
        <v>45698</v>
      </c>
      <c r="C41">
        <v>12622</v>
      </c>
      <c r="D41">
        <v>1020</v>
      </c>
      <c r="F41">
        <v>13642</v>
      </c>
    </row>
    <row r="42" spans="1:6" x14ac:dyDescent="0.35">
      <c r="A42" s="3">
        <v>45705</v>
      </c>
      <c r="B42">
        <v>11468</v>
      </c>
      <c r="C42">
        <v>5101</v>
      </c>
      <c r="D42">
        <v>1290</v>
      </c>
      <c r="F42">
        <v>17859</v>
      </c>
    </row>
    <row r="43" spans="1:6" x14ac:dyDescent="0.35">
      <c r="A43" s="3">
        <v>45712</v>
      </c>
      <c r="B43">
        <v>15087</v>
      </c>
      <c r="E43">
        <v>15359</v>
      </c>
      <c r="F43">
        <v>30446</v>
      </c>
    </row>
    <row r="44" spans="1:6" x14ac:dyDescent="0.35">
      <c r="A44" s="3">
        <v>45719</v>
      </c>
      <c r="C44">
        <v>7432</v>
      </c>
      <c r="D44">
        <v>6326</v>
      </c>
      <c r="E44">
        <v>6631</v>
      </c>
      <c r="F44">
        <v>20389</v>
      </c>
    </row>
    <row r="45" spans="1:6" x14ac:dyDescent="0.35">
      <c r="A45" s="3">
        <v>45726</v>
      </c>
      <c r="B45">
        <v>2994</v>
      </c>
      <c r="C45">
        <v>2535</v>
      </c>
      <c r="D45">
        <v>8723</v>
      </c>
      <c r="E45">
        <v>3555</v>
      </c>
      <c r="F45">
        <v>17807</v>
      </c>
    </row>
    <row r="46" spans="1:6" x14ac:dyDescent="0.35">
      <c r="A46" s="3">
        <v>45733</v>
      </c>
      <c r="B46">
        <v>8292</v>
      </c>
      <c r="C46">
        <v>19728</v>
      </c>
      <c r="F46">
        <v>28020</v>
      </c>
    </row>
    <row r="47" spans="1:6" x14ac:dyDescent="0.35">
      <c r="A47" s="3">
        <v>45740</v>
      </c>
      <c r="C47">
        <v>21227</v>
      </c>
      <c r="E47">
        <v>4189</v>
      </c>
      <c r="F47">
        <v>25416</v>
      </c>
    </row>
    <row r="48" spans="1:6" x14ac:dyDescent="0.35">
      <c r="A48" s="3">
        <v>45747</v>
      </c>
      <c r="B48">
        <v>6128</v>
      </c>
      <c r="C48">
        <v>1660</v>
      </c>
      <c r="D48">
        <v>6272</v>
      </c>
      <c r="E48">
        <v>1567</v>
      </c>
      <c r="F48">
        <v>15627</v>
      </c>
    </row>
    <row r="49" spans="1:6" x14ac:dyDescent="0.35">
      <c r="A49" s="3">
        <v>45754</v>
      </c>
      <c r="B49">
        <v>1425</v>
      </c>
      <c r="C49">
        <v>4542</v>
      </c>
      <c r="D49">
        <v>8319</v>
      </c>
      <c r="E49">
        <v>6434</v>
      </c>
      <c r="F49">
        <v>20720</v>
      </c>
    </row>
    <row r="50" spans="1:6" x14ac:dyDescent="0.35">
      <c r="A50" s="3">
        <v>45761</v>
      </c>
      <c r="C50">
        <v>24995</v>
      </c>
      <c r="F50">
        <v>24995</v>
      </c>
    </row>
    <row r="51" spans="1:6" x14ac:dyDescent="0.35">
      <c r="A51" s="3">
        <v>45768</v>
      </c>
      <c r="B51">
        <v>15012</v>
      </c>
      <c r="D51">
        <v>7058</v>
      </c>
      <c r="F51">
        <v>22070</v>
      </c>
    </row>
    <row r="52" spans="1:6" x14ac:dyDescent="0.35">
      <c r="A52" s="3">
        <v>45775</v>
      </c>
      <c r="C52">
        <v>1512</v>
      </c>
      <c r="D52">
        <v>15937</v>
      </c>
      <c r="F52">
        <v>17449</v>
      </c>
    </row>
    <row r="53" spans="1:6" x14ac:dyDescent="0.35">
      <c r="A53" s="3">
        <v>45782</v>
      </c>
      <c r="B53">
        <v>7959</v>
      </c>
      <c r="C53">
        <v>2960</v>
      </c>
      <c r="E53">
        <v>5210</v>
      </c>
      <c r="F53">
        <v>16129</v>
      </c>
    </row>
    <row r="54" spans="1:6" x14ac:dyDescent="0.35">
      <c r="A54" s="3">
        <v>45789</v>
      </c>
      <c r="B54">
        <v>2805</v>
      </c>
      <c r="C54">
        <v>8146</v>
      </c>
      <c r="D54">
        <v>7436</v>
      </c>
      <c r="F54">
        <v>18387</v>
      </c>
    </row>
    <row r="55" spans="1:6" x14ac:dyDescent="0.35">
      <c r="A55" s="3" t="s">
        <v>13</v>
      </c>
      <c r="B55">
        <v>261862</v>
      </c>
      <c r="C55">
        <v>290487</v>
      </c>
      <c r="D55">
        <v>303407</v>
      </c>
      <c r="E55">
        <v>230642</v>
      </c>
      <c r="F55">
        <v>1086398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7436D-3EBA-43CE-ABF3-8289AE4FA185}">
  <dimension ref="A1:H201"/>
  <sheetViews>
    <sheetView workbookViewId="0">
      <selection activeCell="F2" sqref="F2"/>
    </sheetView>
  </sheetViews>
  <sheetFormatPr defaultRowHeight="14.5" x14ac:dyDescent="0.35"/>
  <cols>
    <col min="1" max="1" width="17.36328125" bestFit="1" customWidth="1"/>
    <col min="2" max="2" width="10.26953125" bestFit="1" customWidth="1"/>
    <col min="3" max="3" width="15.6328125" bestFit="1" customWidth="1"/>
    <col min="4" max="4" width="11.453125" bestFit="1" customWidth="1"/>
    <col min="5" max="5" width="16.08984375" bestFit="1" customWidth="1"/>
    <col min="6" max="6" width="19.7265625" bestFit="1" customWidth="1"/>
    <col min="7" max="7" width="18.08984375" bestFit="1" customWidth="1"/>
    <col min="8" max="8" width="11.453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</v>
      </c>
      <c r="G1" t="s">
        <v>5</v>
      </c>
      <c r="H1" t="s">
        <v>6</v>
      </c>
    </row>
    <row r="2" spans="1:8" x14ac:dyDescent="0.35">
      <c r="A2" s="1">
        <v>45446</v>
      </c>
      <c r="B2" t="s">
        <v>7</v>
      </c>
      <c r="C2">
        <v>4138</v>
      </c>
      <c r="D2">
        <v>361</v>
      </c>
      <c r="E2">
        <v>103777</v>
      </c>
      <c r="F2">
        <f>Engagement_Summary[[#This Row],[New_Followers]]-Engagement_Summary[[#This Row],[Unfollows]]</f>
        <v>3777</v>
      </c>
      <c r="G2">
        <v>56.637790647253247</v>
      </c>
      <c r="H2">
        <v>23944</v>
      </c>
    </row>
    <row r="3" spans="1:8" x14ac:dyDescent="0.35">
      <c r="A3" s="1">
        <v>45446</v>
      </c>
      <c r="B3" t="s">
        <v>8</v>
      </c>
      <c r="C3">
        <v>8693</v>
      </c>
      <c r="D3">
        <v>1261</v>
      </c>
      <c r="E3">
        <v>111209</v>
      </c>
      <c r="F3">
        <f>Engagement_Summary[[#This Row],[New_Followers]]-Engagement_Summary[[#This Row],[Unfollows]]</f>
        <v>7432</v>
      </c>
      <c r="G3">
        <v>69.475492091467416</v>
      </c>
      <c r="H3">
        <v>29873</v>
      </c>
    </row>
    <row r="4" spans="1:8" x14ac:dyDescent="0.35">
      <c r="A4" s="1">
        <v>45446</v>
      </c>
      <c r="B4" t="s">
        <v>9</v>
      </c>
      <c r="C4">
        <v>9264</v>
      </c>
      <c r="D4">
        <v>1141</v>
      </c>
      <c r="E4">
        <v>119332</v>
      </c>
      <c r="F4">
        <f>Engagement_Summary[[#This Row],[New_Followers]]-Engagement_Summary[[#This Row],[Unfollows]]</f>
        <v>8123</v>
      </c>
      <c r="G4">
        <v>92.312204605638044</v>
      </c>
      <c r="H4">
        <v>50372</v>
      </c>
    </row>
    <row r="5" spans="1:8" x14ac:dyDescent="0.35">
      <c r="A5" s="1">
        <v>45446</v>
      </c>
      <c r="B5" t="s">
        <v>9</v>
      </c>
      <c r="C5">
        <v>8842</v>
      </c>
      <c r="D5">
        <v>971</v>
      </c>
      <c r="E5">
        <v>127203</v>
      </c>
      <c r="F5">
        <f>Engagement_Summary[[#This Row],[New_Followers]]-Engagement_Summary[[#This Row],[Unfollows]]</f>
        <v>7871</v>
      </c>
      <c r="G5">
        <v>16.351815601833291</v>
      </c>
      <c r="H5">
        <v>33928</v>
      </c>
    </row>
    <row r="6" spans="1:8" x14ac:dyDescent="0.35">
      <c r="A6" s="1">
        <v>45453</v>
      </c>
      <c r="B6" t="s">
        <v>7</v>
      </c>
      <c r="C6">
        <v>7721</v>
      </c>
      <c r="D6">
        <v>506</v>
      </c>
      <c r="E6">
        <v>134418</v>
      </c>
      <c r="F6">
        <f>Engagement_Summary[[#This Row],[New_Followers]]-Engagement_Summary[[#This Row],[Unfollows]]</f>
        <v>7215</v>
      </c>
      <c r="G6">
        <v>35.577824398518047</v>
      </c>
      <c r="H6">
        <v>25379</v>
      </c>
    </row>
    <row r="7" spans="1:8" x14ac:dyDescent="0.35">
      <c r="A7" s="1">
        <v>45453</v>
      </c>
      <c r="B7" t="s">
        <v>9</v>
      </c>
      <c r="C7">
        <v>8002</v>
      </c>
      <c r="D7">
        <v>524</v>
      </c>
      <c r="E7">
        <v>141896</v>
      </c>
      <c r="F7">
        <f>Engagement_Summary[[#This Row],[New_Followers]]-Engagement_Summary[[#This Row],[Unfollows]]</f>
        <v>7478</v>
      </c>
      <c r="G7">
        <v>52.064892597395271</v>
      </c>
      <c r="H7">
        <v>46751</v>
      </c>
    </row>
    <row r="8" spans="1:8" x14ac:dyDescent="0.35">
      <c r="A8" s="1">
        <v>45453</v>
      </c>
      <c r="B8" t="s">
        <v>8</v>
      </c>
      <c r="C8">
        <v>5225</v>
      </c>
      <c r="D8">
        <v>291</v>
      </c>
      <c r="E8">
        <v>146830</v>
      </c>
      <c r="F8">
        <f>Engagement_Summary[[#This Row],[New_Followers]]-Engagement_Summary[[#This Row],[Unfollows]]</f>
        <v>4934</v>
      </c>
      <c r="G8">
        <v>19.551862698358651</v>
      </c>
      <c r="H8">
        <v>44546</v>
      </c>
    </row>
    <row r="9" spans="1:8" x14ac:dyDescent="0.35">
      <c r="A9" s="1">
        <v>45453</v>
      </c>
      <c r="B9" t="s">
        <v>8</v>
      </c>
      <c r="C9">
        <v>3978</v>
      </c>
      <c r="D9">
        <v>543</v>
      </c>
      <c r="E9">
        <v>150265</v>
      </c>
      <c r="F9">
        <f>Engagement_Summary[[#This Row],[New_Followers]]-Engagement_Summary[[#This Row],[Unfollows]]</f>
        <v>3435</v>
      </c>
      <c r="G9">
        <v>49.159817655475329</v>
      </c>
      <c r="H9">
        <v>34286</v>
      </c>
    </row>
    <row r="10" spans="1:8" x14ac:dyDescent="0.35">
      <c r="A10" s="1">
        <v>45460</v>
      </c>
      <c r="B10" t="s">
        <v>7</v>
      </c>
      <c r="C10">
        <v>8373</v>
      </c>
      <c r="D10">
        <v>921</v>
      </c>
      <c r="E10">
        <v>157717</v>
      </c>
      <c r="F10">
        <f>Engagement_Summary[[#This Row],[New_Followers]]-Engagement_Summary[[#This Row],[Unfollows]]</f>
        <v>7452</v>
      </c>
      <c r="G10">
        <v>12.2263294381709</v>
      </c>
      <c r="H10">
        <v>15110</v>
      </c>
    </row>
    <row r="11" spans="1:8" x14ac:dyDescent="0.35">
      <c r="A11" s="1">
        <v>45460</v>
      </c>
      <c r="B11" t="s">
        <v>8</v>
      </c>
      <c r="C11">
        <v>6907</v>
      </c>
      <c r="D11">
        <v>834</v>
      </c>
      <c r="E11">
        <v>163790</v>
      </c>
      <c r="F11">
        <f>Engagement_Summary[[#This Row],[New_Followers]]-Engagement_Summary[[#This Row],[Unfollows]]</f>
        <v>6073</v>
      </c>
      <c r="G11">
        <v>54.158984064961238</v>
      </c>
      <c r="H11">
        <v>22087</v>
      </c>
    </row>
    <row r="12" spans="1:8" x14ac:dyDescent="0.35">
      <c r="A12" s="1">
        <v>45460</v>
      </c>
      <c r="B12" t="s">
        <v>10</v>
      </c>
      <c r="C12">
        <v>7097</v>
      </c>
      <c r="D12">
        <v>369</v>
      </c>
      <c r="E12">
        <v>170518</v>
      </c>
      <c r="F12">
        <f>Engagement_Summary[[#This Row],[New_Followers]]-Engagement_Summary[[#This Row],[Unfollows]]</f>
        <v>6728</v>
      </c>
      <c r="G12">
        <v>9.2506362964613711</v>
      </c>
      <c r="H12">
        <v>33762</v>
      </c>
    </row>
    <row r="13" spans="1:8" x14ac:dyDescent="0.35">
      <c r="A13" s="1">
        <v>45460</v>
      </c>
      <c r="B13" t="s">
        <v>7</v>
      </c>
      <c r="C13">
        <v>6656</v>
      </c>
      <c r="D13">
        <v>978</v>
      </c>
      <c r="E13">
        <v>176196</v>
      </c>
      <c r="F13">
        <f>Engagement_Summary[[#This Row],[New_Followers]]-Engagement_Summary[[#This Row],[Unfollows]]</f>
        <v>5678</v>
      </c>
      <c r="G13">
        <v>60.425889350496043</v>
      </c>
      <c r="H13">
        <v>27081</v>
      </c>
    </row>
    <row r="14" spans="1:8" x14ac:dyDescent="0.35">
      <c r="A14" s="1">
        <v>45467</v>
      </c>
      <c r="B14" t="s">
        <v>8</v>
      </c>
      <c r="C14">
        <v>9984</v>
      </c>
      <c r="D14">
        <v>1330</v>
      </c>
      <c r="E14">
        <v>184850</v>
      </c>
      <c r="F14">
        <f>Engagement_Summary[[#This Row],[New_Followers]]-Engagement_Summary[[#This Row],[Unfollows]]</f>
        <v>8654</v>
      </c>
      <c r="G14">
        <v>57.524479307546663</v>
      </c>
      <c r="H14">
        <v>44947</v>
      </c>
    </row>
    <row r="15" spans="1:8" x14ac:dyDescent="0.35">
      <c r="A15" s="1">
        <v>45467</v>
      </c>
      <c r="B15" t="s">
        <v>7</v>
      </c>
      <c r="C15">
        <v>5259</v>
      </c>
      <c r="D15">
        <v>374</v>
      </c>
      <c r="E15">
        <v>189735</v>
      </c>
      <c r="F15">
        <f>Engagement_Summary[[#This Row],[New_Followers]]-Engagement_Summary[[#This Row],[Unfollows]]</f>
        <v>4885</v>
      </c>
      <c r="G15">
        <v>14.827522597306769</v>
      </c>
      <c r="H15">
        <v>19596</v>
      </c>
    </row>
    <row r="16" spans="1:8" x14ac:dyDescent="0.35">
      <c r="A16" s="1">
        <v>45467</v>
      </c>
      <c r="B16" t="s">
        <v>9</v>
      </c>
      <c r="C16">
        <v>9286</v>
      </c>
      <c r="D16">
        <v>633</v>
      </c>
      <c r="E16">
        <v>198388</v>
      </c>
      <c r="F16">
        <f>Engagement_Summary[[#This Row],[New_Followers]]-Engagement_Summary[[#This Row],[Unfollows]]</f>
        <v>8653</v>
      </c>
      <c r="G16">
        <v>5.4343004617214756</v>
      </c>
      <c r="H16">
        <v>48019</v>
      </c>
    </row>
    <row r="17" spans="1:8" x14ac:dyDescent="0.35">
      <c r="A17" s="1">
        <v>45467</v>
      </c>
      <c r="B17" t="s">
        <v>8</v>
      </c>
      <c r="C17">
        <v>6901</v>
      </c>
      <c r="D17">
        <v>471</v>
      </c>
      <c r="E17">
        <v>204818</v>
      </c>
      <c r="F17">
        <f>Engagement_Summary[[#This Row],[New_Followers]]-Engagement_Summary[[#This Row],[Unfollows]]</f>
        <v>6430</v>
      </c>
      <c r="G17">
        <v>60.827661631301943</v>
      </c>
      <c r="H17">
        <v>52003</v>
      </c>
    </row>
    <row r="18" spans="1:8" x14ac:dyDescent="0.35">
      <c r="A18" s="1">
        <v>45474</v>
      </c>
      <c r="B18" t="s">
        <v>10</v>
      </c>
      <c r="C18">
        <v>5917</v>
      </c>
      <c r="D18">
        <v>475</v>
      </c>
      <c r="E18">
        <v>210260</v>
      </c>
      <c r="F18">
        <f>Engagement_Summary[[#This Row],[New_Followers]]-Engagement_Summary[[#This Row],[Unfollows]]</f>
        <v>5442</v>
      </c>
      <c r="G18">
        <v>17.894035955483691</v>
      </c>
      <c r="H18">
        <v>28313</v>
      </c>
    </row>
    <row r="19" spans="1:8" x14ac:dyDescent="0.35">
      <c r="A19" s="1">
        <v>45474</v>
      </c>
      <c r="B19" t="s">
        <v>8</v>
      </c>
      <c r="C19">
        <v>9429</v>
      </c>
      <c r="D19">
        <v>966</v>
      </c>
      <c r="E19">
        <v>218723</v>
      </c>
      <c r="F19">
        <f>Engagement_Summary[[#This Row],[New_Followers]]-Engagement_Summary[[#This Row],[Unfollows]]</f>
        <v>8463</v>
      </c>
      <c r="G19">
        <v>7.6914636320825887</v>
      </c>
      <c r="H19">
        <v>57639</v>
      </c>
    </row>
    <row r="20" spans="1:8" x14ac:dyDescent="0.35">
      <c r="A20" s="1">
        <v>45474</v>
      </c>
      <c r="B20" t="s">
        <v>7</v>
      </c>
      <c r="C20">
        <v>3530</v>
      </c>
      <c r="D20">
        <v>328</v>
      </c>
      <c r="E20">
        <v>221925</v>
      </c>
      <c r="F20">
        <f>Engagement_Summary[[#This Row],[New_Followers]]-Engagement_Summary[[#This Row],[Unfollows]]</f>
        <v>3202</v>
      </c>
      <c r="G20">
        <v>12.8372197814577</v>
      </c>
      <c r="H20">
        <v>11013</v>
      </c>
    </row>
    <row r="21" spans="1:8" x14ac:dyDescent="0.35">
      <c r="A21" s="1">
        <v>45474</v>
      </c>
      <c r="B21" t="s">
        <v>7</v>
      </c>
      <c r="C21">
        <v>2960</v>
      </c>
      <c r="D21">
        <v>234</v>
      </c>
      <c r="E21">
        <v>224651</v>
      </c>
      <c r="F21">
        <f>Engagement_Summary[[#This Row],[New_Followers]]-Engagement_Summary[[#This Row],[Unfollows]]</f>
        <v>2726</v>
      </c>
      <c r="G21">
        <v>17.41278694508371</v>
      </c>
      <c r="H21">
        <v>59378</v>
      </c>
    </row>
    <row r="22" spans="1:8" x14ac:dyDescent="0.35">
      <c r="A22" s="1">
        <v>45481</v>
      </c>
      <c r="B22" t="s">
        <v>8</v>
      </c>
      <c r="C22">
        <v>8045</v>
      </c>
      <c r="D22">
        <v>894</v>
      </c>
      <c r="E22">
        <v>231802</v>
      </c>
      <c r="F22">
        <f>Engagement_Summary[[#This Row],[New_Followers]]-Engagement_Summary[[#This Row],[Unfollows]]</f>
        <v>7151</v>
      </c>
      <c r="G22">
        <v>47.634187798207087</v>
      </c>
      <c r="H22">
        <v>33705</v>
      </c>
    </row>
    <row r="23" spans="1:8" x14ac:dyDescent="0.35">
      <c r="A23" s="1">
        <v>45481</v>
      </c>
      <c r="B23" t="s">
        <v>10</v>
      </c>
      <c r="C23">
        <v>2048</v>
      </c>
      <c r="D23">
        <v>130</v>
      </c>
      <c r="E23">
        <v>233720</v>
      </c>
      <c r="F23">
        <f>Engagement_Summary[[#This Row],[New_Followers]]-Engagement_Summary[[#This Row],[Unfollows]]</f>
        <v>1918</v>
      </c>
      <c r="G23">
        <v>39.284614068115687</v>
      </c>
      <c r="H23">
        <v>11828</v>
      </c>
    </row>
    <row r="24" spans="1:8" x14ac:dyDescent="0.35">
      <c r="A24" s="1">
        <v>45481</v>
      </c>
      <c r="B24" t="s">
        <v>10</v>
      </c>
      <c r="C24">
        <v>6772</v>
      </c>
      <c r="D24">
        <v>536</v>
      </c>
      <c r="E24">
        <v>239956</v>
      </c>
      <c r="F24">
        <f>Engagement_Summary[[#This Row],[New_Followers]]-Engagement_Summary[[#This Row],[Unfollows]]</f>
        <v>6236</v>
      </c>
      <c r="G24">
        <v>9.8205504342462788</v>
      </c>
      <c r="H24">
        <v>17909</v>
      </c>
    </row>
    <row r="25" spans="1:8" x14ac:dyDescent="0.35">
      <c r="A25" s="1">
        <v>45481</v>
      </c>
      <c r="B25" t="s">
        <v>10</v>
      </c>
      <c r="C25">
        <v>3529</v>
      </c>
      <c r="D25">
        <v>305</v>
      </c>
      <c r="E25">
        <v>243180</v>
      </c>
      <c r="F25">
        <f>Engagement_Summary[[#This Row],[New_Followers]]-Engagement_Summary[[#This Row],[Unfollows]]</f>
        <v>3224</v>
      </c>
      <c r="G25">
        <v>41.606628834608109</v>
      </c>
      <c r="H25">
        <v>48356</v>
      </c>
    </row>
    <row r="26" spans="1:8" x14ac:dyDescent="0.35">
      <c r="A26" s="1">
        <v>45488</v>
      </c>
      <c r="B26" t="s">
        <v>7</v>
      </c>
      <c r="C26">
        <v>3964</v>
      </c>
      <c r="D26">
        <v>378</v>
      </c>
      <c r="E26">
        <v>246766</v>
      </c>
      <c r="F26">
        <f>Engagement_Summary[[#This Row],[New_Followers]]-Engagement_Summary[[#This Row],[Unfollows]]</f>
        <v>3586</v>
      </c>
      <c r="G26">
        <v>13.6355899921383</v>
      </c>
      <c r="H26">
        <v>23109</v>
      </c>
    </row>
    <row r="27" spans="1:8" x14ac:dyDescent="0.35">
      <c r="A27" s="1">
        <v>45488</v>
      </c>
      <c r="B27" t="s">
        <v>8</v>
      </c>
      <c r="C27">
        <v>8137</v>
      </c>
      <c r="D27">
        <v>1045</v>
      </c>
      <c r="E27">
        <v>253858</v>
      </c>
      <c r="F27">
        <f>Engagement_Summary[[#This Row],[New_Followers]]-Engagement_Summary[[#This Row],[Unfollows]]</f>
        <v>7092</v>
      </c>
      <c r="G27">
        <v>20.47246886054408</v>
      </c>
      <c r="H27">
        <v>12023</v>
      </c>
    </row>
    <row r="28" spans="1:8" x14ac:dyDescent="0.35">
      <c r="A28" s="1">
        <v>45488</v>
      </c>
      <c r="B28" t="s">
        <v>9</v>
      </c>
      <c r="C28">
        <v>1963</v>
      </c>
      <c r="D28">
        <v>137</v>
      </c>
      <c r="E28">
        <v>255684</v>
      </c>
      <c r="F28">
        <f>Engagement_Summary[[#This Row],[New_Followers]]-Engagement_Summary[[#This Row],[Unfollows]]</f>
        <v>1826</v>
      </c>
      <c r="G28">
        <v>11.2083665774941</v>
      </c>
      <c r="H28">
        <v>24537</v>
      </c>
    </row>
    <row r="29" spans="1:8" x14ac:dyDescent="0.35">
      <c r="A29" s="1">
        <v>45488</v>
      </c>
      <c r="B29" t="s">
        <v>7</v>
      </c>
      <c r="C29">
        <v>1536</v>
      </c>
      <c r="D29">
        <v>155</v>
      </c>
      <c r="E29">
        <v>257065</v>
      </c>
      <c r="F29">
        <f>Engagement_Summary[[#This Row],[New_Followers]]-Engagement_Summary[[#This Row],[Unfollows]]</f>
        <v>1381</v>
      </c>
      <c r="G29">
        <v>12.15762550327738</v>
      </c>
      <c r="H29">
        <v>36661</v>
      </c>
    </row>
    <row r="30" spans="1:8" x14ac:dyDescent="0.35">
      <c r="A30" s="1">
        <v>45495</v>
      </c>
      <c r="B30" t="s">
        <v>10</v>
      </c>
      <c r="C30">
        <v>8340</v>
      </c>
      <c r="D30">
        <v>911</v>
      </c>
      <c r="E30">
        <v>264494</v>
      </c>
      <c r="F30">
        <f>Engagement_Summary[[#This Row],[New_Followers]]-Engagement_Summary[[#This Row],[Unfollows]]</f>
        <v>7429</v>
      </c>
      <c r="G30">
        <v>37.302925586213682</v>
      </c>
      <c r="H30">
        <v>48659</v>
      </c>
    </row>
    <row r="31" spans="1:8" x14ac:dyDescent="0.35">
      <c r="A31" s="1">
        <v>45495</v>
      </c>
      <c r="B31" t="s">
        <v>8</v>
      </c>
      <c r="C31">
        <v>8179</v>
      </c>
      <c r="D31">
        <v>446</v>
      </c>
      <c r="E31">
        <v>272227</v>
      </c>
      <c r="F31">
        <f>Engagement_Summary[[#This Row],[New_Followers]]-Engagement_Summary[[#This Row],[Unfollows]]</f>
        <v>7733</v>
      </c>
      <c r="G31">
        <v>41.82171496581897</v>
      </c>
      <c r="H31">
        <v>43848</v>
      </c>
    </row>
    <row r="32" spans="1:8" x14ac:dyDescent="0.35">
      <c r="A32" s="1">
        <v>45495</v>
      </c>
      <c r="B32" t="s">
        <v>10</v>
      </c>
      <c r="C32">
        <v>8967</v>
      </c>
      <c r="D32">
        <v>993</v>
      </c>
      <c r="E32">
        <v>280201</v>
      </c>
      <c r="F32">
        <f>Engagement_Summary[[#This Row],[New_Followers]]-Engagement_Summary[[#This Row],[Unfollows]]</f>
        <v>7974</v>
      </c>
      <c r="G32">
        <v>52.792102811910027</v>
      </c>
      <c r="H32">
        <v>47804</v>
      </c>
    </row>
    <row r="33" spans="1:8" x14ac:dyDescent="0.35">
      <c r="A33" s="1">
        <v>45495</v>
      </c>
      <c r="B33" t="s">
        <v>9</v>
      </c>
      <c r="C33">
        <v>9734</v>
      </c>
      <c r="D33">
        <v>652</v>
      </c>
      <c r="E33">
        <v>289283</v>
      </c>
      <c r="F33">
        <f>Engagement_Summary[[#This Row],[New_Followers]]-Engagement_Summary[[#This Row],[Unfollows]]</f>
        <v>9082</v>
      </c>
      <c r="G33">
        <v>49.647922622483861</v>
      </c>
      <c r="H33">
        <v>25379</v>
      </c>
    </row>
    <row r="34" spans="1:8" x14ac:dyDescent="0.35">
      <c r="A34" s="1">
        <v>45502</v>
      </c>
      <c r="B34" t="s">
        <v>10</v>
      </c>
      <c r="C34">
        <v>1845</v>
      </c>
      <c r="D34">
        <v>104</v>
      </c>
      <c r="E34">
        <v>291024</v>
      </c>
      <c r="F34">
        <f>Engagement_Summary[[#This Row],[New_Followers]]-Engagement_Summary[[#This Row],[Unfollows]]</f>
        <v>1741</v>
      </c>
      <c r="G34">
        <v>28.158158777282971</v>
      </c>
      <c r="H34">
        <v>37766</v>
      </c>
    </row>
    <row r="35" spans="1:8" x14ac:dyDescent="0.35">
      <c r="A35" s="1">
        <v>45502</v>
      </c>
      <c r="B35" t="s">
        <v>10</v>
      </c>
      <c r="C35">
        <v>6777</v>
      </c>
      <c r="D35">
        <v>981</v>
      </c>
      <c r="E35">
        <v>296820</v>
      </c>
      <c r="F35">
        <f>Engagement_Summary[[#This Row],[New_Followers]]-Engagement_Summary[[#This Row],[Unfollows]]</f>
        <v>5796</v>
      </c>
      <c r="G35">
        <v>23.920557913887201</v>
      </c>
      <c r="H35">
        <v>53590</v>
      </c>
    </row>
    <row r="36" spans="1:8" x14ac:dyDescent="0.35">
      <c r="A36" s="1">
        <v>45502</v>
      </c>
      <c r="B36" t="s">
        <v>9</v>
      </c>
      <c r="C36">
        <v>4036</v>
      </c>
      <c r="D36">
        <v>591</v>
      </c>
      <c r="E36">
        <v>300265</v>
      </c>
      <c r="F36">
        <f>Engagement_Summary[[#This Row],[New_Followers]]-Engagement_Summary[[#This Row],[Unfollows]]</f>
        <v>3445</v>
      </c>
      <c r="G36">
        <v>44.219272975538267</v>
      </c>
      <c r="H36">
        <v>12563</v>
      </c>
    </row>
    <row r="37" spans="1:8" x14ac:dyDescent="0.35">
      <c r="A37" s="1">
        <v>45502</v>
      </c>
      <c r="B37" t="s">
        <v>8</v>
      </c>
      <c r="C37">
        <v>6947</v>
      </c>
      <c r="D37">
        <v>908</v>
      </c>
      <c r="E37">
        <v>306304</v>
      </c>
      <c r="F37">
        <f>Engagement_Summary[[#This Row],[New_Followers]]-Engagement_Summary[[#This Row],[Unfollows]]</f>
        <v>6039</v>
      </c>
      <c r="G37">
        <v>14.117673944839121</v>
      </c>
      <c r="H37">
        <v>46060</v>
      </c>
    </row>
    <row r="38" spans="1:8" x14ac:dyDescent="0.35">
      <c r="A38" s="1">
        <v>45509</v>
      </c>
      <c r="B38" t="s">
        <v>7</v>
      </c>
      <c r="C38">
        <v>3494</v>
      </c>
      <c r="D38">
        <v>281</v>
      </c>
      <c r="E38">
        <v>309517</v>
      </c>
      <c r="F38">
        <f>Engagement_Summary[[#This Row],[New_Followers]]-Engagement_Summary[[#This Row],[Unfollows]]</f>
        <v>3213</v>
      </c>
      <c r="G38">
        <v>27.765518533715429</v>
      </c>
      <c r="H38">
        <v>39197</v>
      </c>
    </row>
    <row r="39" spans="1:8" x14ac:dyDescent="0.35">
      <c r="A39" s="1">
        <v>45509</v>
      </c>
      <c r="B39" t="s">
        <v>8</v>
      </c>
      <c r="C39">
        <v>3719</v>
      </c>
      <c r="D39">
        <v>222</v>
      </c>
      <c r="E39">
        <v>313014</v>
      </c>
      <c r="F39">
        <f>Engagement_Summary[[#This Row],[New_Followers]]-Engagement_Summary[[#This Row],[Unfollows]]</f>
        <v>3497</v>
      </c>
      <c r="G39">
        <v>21.669318305251519</v>
      </c>
      <c r="H39">
        <v>13586</v>
      </c>
    </row>
    <row r="40" spans="1:8" x14ac:dyDescent="0.35">
      <c r="A40" s="1">
        <v>45509</v>
      </c>
      <c r="B40" t="s">
        <v>9</v>
      </c>
      <c r="C40">
        <v>2884</v>
      </c>
      <c r="D40">
        <v>341</v>
      </c>
      <c r="E40">
        <v>315557</v>
      </c>
      <c r="F40">
        <f>Engagement_Summary[[#This Row],[New_Followers]]-Engagement_Summary[[#This Row],[Unfollows]]</f>
        <v>2543</v>
      </c>
      <c r="G40">
        <v>46.999749649033298</v>
      </c>
      <c r="H40">
        <v>26087</v>
      </c>
    </row>
    <row r="41" spans="1:8" x14ac:dyDescent="0.35">
      <c r="A41" s="1">
        <v>45509</v>
      </c>
      <c r="B41" t="s">
        <v>10</v>
      </c>
      <c r="C41">
        <v>5349</v>
      </c>
      <c r="D41">
        <v>502</v>
      </c>
      <c r="E41">
        <v>320404</v>
      </c>
      <c r="F41">
        <f>Engagement_Summary[[#This Row],[New_Followers]]-Engagement_Summary[[#This Row],[Unfollows]]</f>
        <v>4847</v>
      </c>
      <c r="G41">
        <v>5.2152906954969351</v>
      </c>
      <c r="H41">
        <v>58868</v>
      </c>
    </row>
    <row r="42" spans="1:8" x14ac:dyDescent="0.35">
      <c r="A42" s="1">
        <v>45516</v>
      </c>
      <c r="B42" t="s">
        <v>8</v>
      </c>
      <c r="C42">
        <v>6179</v>
      </c>
      <c r="D42">
        <v>384</v>
      </c>
      <c r="E42">
        <v>326199</v>
      </c>
      <c r="F42">
        <f>Engagement_Summary[[#This Row],[New_Followers]]-Engagement_Summary[[#This Row],[Unfollows]]</f>
        <v>5795</v>
      </c>
      <c r="G42">
        <v>14.71218489327067</v>
      </c>
      <c r="H42">
        <v>33225</v>
      </c>
    </row>
    <row r="43" spans="1:8" x14ac:dyDescent="0.35">
      <c r="A43" s="1">
        <v>45516</v>
      </c>
      <c r="B43" t="s">
        <v>7</v>
      </c>
      <c r="C43">
        <v>7610</v>
      </c>
      <c r="D43">
        <v>757</v>
      </c>
      <c r="E43">
        <v>333052</v>
      </c>
      <c r="F43">
        <f>Engagement_Summary[[#This Row],[New_Followers]]-Engagement_Summary[[#This Row],[Unfollows]]</f>
        <v>6853</v>
      </c>
      <c r="G43">
        <v>44.450416151231643</v>
      </c>
      <c r="H43">
        <v>39750</v>
      </c>
    </row>
    <row r="44" spans="1:8" x14ac:dyDescent="0.35">
      <c r="A44" s="1">
        <v>45516</v>
      </c>
      <c r="B44" t="s">
        <v>9</v>
      </c>
      <c r="C44">
        <v>7430</v>
      </c>
      <c r="D44">
        <v>397</v>
      </c>
      <c r="E44">
        <v>340085</v>
      </c>
      <c r="F44">
        <f>Engagement_Summary[[#This Row],[New_Followers]]-Engagement_Summary[[#This Row],[Unfollows]]</f>
        <v>7033</v>
      </c>
      <c r="G44">
        <v>28.065042562888689</v>
      </c>
      <c r="H44">
        <v>16643</v>
      </c>
    </row>
    <row r="45" spans="1:8" x14ac:dyDescent="0.35">
      <c r="A45" s="1">
        <v>45516</v>
      </c>
      <c r="B45" t="s">
        <v>8</v>
      </c>
      <c r="C45">
        <v>8154</v>
      </c>
      <c r="D45">
        <v>1149</v>
      </c>
      <c r="E45">
        <v>347090</v>
      </c>
      <c r="F45">
        <f>Engagement_Summary[[#This Row],[New_Followers]]-Engagement_Summary[[#This Row],[Unfollows]]</f>
        <v>7005</v>
      </c>
      <c r="G45">
        <v>26.003918292085629</v>
      </c>
      <c r="H45">
        <v>37523</v>
      </c>
    </row>
    <row r="46" spans="1:8" x14ac:dyDescent="0.35">
      <c r="A46" s="1">
        <v>45523</v>
      </c>
      <c r="B46" t="s">
        <v>7</v>
      </c>
      <c r="C46">
        <v>7488</v>
      </c>
      <c r="D46">
        <v>568</v>
      </c>
      <c r="E46">
        <v>354010</v>
      </c>
      <c r="F46">
        <f>Engagement_Summary[[#This Row],[New_Followers]]-Engagement_Summary[[#This Row],[Unfollows]]</f>
        <v>6920</v>
      </c>
      <c r="G46">
        <v>13.47730290104799</v>
      </c>
      <c r="H46">
        <v>46727</v>
      </c>
    </row>
    <row r="47" spans="1:8" x14ac:dyDescent="0.35">
      <c r="A47" s="1">
        <v>45523</v>
      </c>
      <c r="B47" t="s">
        <v>9</v>
      </c>
      <c r="C47">
        <v>5737</v>
      </c>
      <c r="D47">
        <v>666</v>
      </c>
      <c r="E47">
        <v>359081</v>
      </c>
      <c r="F47">
        <f>Engagement_Summary[[#This Row],[New_Followers]]-Engagement_Summary[[#This Row],[Unfollows]]</f>
        <v>5071</v>
      </c>
      <c r="G47">
        <v>4.6034181702735593</v>
      </c>
      <c r="H47">
        <v>21005</v>
      </c>
    </row>
    <row r="48" spans="1:8" x14ac:dyDescent="0.35">
      <c r="A48" s="1">
        <v>45523</v>
      </c>
      <c r="B48" t="s">
        <v>7</v>
      </c>
      <c r="C48">
        <v>7525</v>
      </c>
      <c r="D48">
        <v>610</v>
      </c>
      <c r="E48">
        <v>365996</v>
      </c>
      <c r="F48">
        <f>Engagement_Summary[[#This Row],[New_Followers]]-Engagement_Summary[[#This Row],[Unfollows]]</f>
        <v>6915</v>
      </c>
      <c r="G48">
        <v>5.7694619613329108</v>
      </c>
      <c r="H48">
        <v>53543</v>
      </c>
    </row>
    <row r="49" spans="1:8" x14ac:dyDescent="0.35">
      <c r="A49" s="1">
        <v>45523</v>
      </c>
      <c r="B49" t="s">
        <v>9</v>
      </c>
      <c r="C49">
        <v>4850</v>
      </c>
      <c r="D49">
        <v>494</v>
      </c>
      <c r="E49">
        <v>370352</v>
      </c>
      <c r="F49">
        <f>Engagement_Summary[[#This Row],[New_Followers]]-Engagement_Summary[[#This Row],[Unfollows]]</f>
        <v>4356</v>
      </c>
      <c r="G49">
        <v>20.46539508359615</v>
      </c>
      <c r="H49">
        <v>10161</v>
      </c>
    </row>
    <row r="50" spans="1:8" x14ac:dyDescent="0.35">
      <c r="A50" s="1">
        <v>45530</v>
      </c>
      <c r="B50" t="s">
        <v>10</v>
      </c>
      <c r="C50">
        <v>1689</v>
      </c>
      <c r="D50">
        <v>176</v>
      </c>
      <c r="E50">
        <v>371865</v>
      </c>
      <c r="F50">
        <f>Engagement_Summary[[#This Row],[New_Followers]]-Engagement_Summary[[#This Row],[Unfollows]]</f>
        <v>1513</v>
      </c>
      <c r="G50">
        <v>38.012181840183942</v>
      </c>
      <c r="H50">
        <v>26029</v>
      </c>
    </row>
    <row r="51" spans="1:8" x14ac:dyDescent="0.35">
      <c r="A51" s="1">
        <v>45530</v>
      </c>
      <c r="B51" t="s">
        <v>8</v>
      </c>
      <c r="C51">
        <v>6175</v>
      </c>
      <c r="D51">
        <v>422</v>
      </c>
      <c r="E51">
        <v>377618</v>
      </c>
      <c r="F51">
        <f>Engagement_Summary[[#This Row],[New_Followers]]-Engagement_Summary[[#This Row],[Unfollows]]</f>
        <v>5753</v>
      </c>
      <c r="G51">
        <v>37.86101298137271</v>
      </c>
      <c r="H51">
        <v>59745</v>
      </c>
    </row>
    <row r="52" spans="1:8" x14ac:dyDescent="0.35">
      <c r="A52" s="1">
        <v>45530</v>
      </c>
      <c r="B52" t="s">
        <v>7</v>
      </c>
      <c r="C52">
        <v>9648</v>
      </c>
      <c r="D52">
        <v>1417</v>
      </c>
      <c r="E52">
        <v>385849</v>
      </c>
      <c r="F52">
        <f>Engagement_Summary[[#This Row],[New_Followers]]-Engagement_Summary[[#This Row],[Unfollows]]</f>
        <v>8231</v>
      </c>
      <c r="G52">
        <v>3.6633501706626168</v>
      </c>
      <c r="H52">
        <v>24226</v>
      </c>
    </row>
    <row r="53" spans="1:8" x14ac:dyDescent="0.35">
      <c r="A53" s="1">
        <v>45530</v>
      </c>
      <c r="B53" t="s">
        <v>9</v>
      </c>
      <c r="C53">
        <v>6078</v>
      </c>
      <c r="D53">
        <v>775</v>
      </c>
      <c r="E53">
        <v>391152</v>
      </c>
      <c r="F53">
        <f>Engagement_Summary[[#This Row],[New_Followers]]-Engagement_Summary[[#This Row],[Unfollows]]</f>
        <v>5303</v>
      </c>
      <c r="G53">
        <v>37.760512537325639</v>
      </c>
      <c r="H53">
        <v>38731</v>
      </c>
    </row>
    <row r="54" spans="1:8" x14ac:dyDescent="0.35">
      <c r="A54" s="1">
        <v>45537</v>
      </c>
      <c r="B54" t="s">
        <v>7</v>
      </c>
      <c r="C54">
        <v>6448</v>
      </c>
      <c r="D54">
        <v>928</v>
      </c>
      <c r="E54">
        <v>396672</v>
      </c>
      <c r="F54">
        <f>Engagement_Summary[[#This Row],[New_Followers]]-Engagement_Summary[[#This Row],[Unfollows]]</f>
        <v>5520</v>
      </c>
      <c r="G54">
        <v>30.118586640851881</v>
      </c>
      <c r="H54">
        <v>53922</v>
      </c>
    </row>
    <row r="55" spans="1:8" x14ac:dyDescent="0.35">
      <c r="A55" s="1">
        <v>45537</v>
      </c>
      <c r="B55" t="s">
        <v>7</v>
      </c>
      <c r="C55">
        <v>2179</v>
      </c>
      <c r="D55">
        <v>303</v>
      </c>
      <c r="E55">
        <v>398548</v>
      </c>
      <c r="F55">
        <f>Engagement_Summary[[#This Row],[New_Followers]]-Engagement_Summary[[#This Row],[Unfollows]]</f>
        <v>1876</v>
      </c>
      <c r="G55">
        <v>33.909842729106657</v>
      </c>
      <c r="H55">
        <v>54848</v>
      </c>
    </row>
    <row r="56" spans="1:8" x14ac:dyDescent="0.35">
      <c r="A56" s="1">
        <v>45537</v>
      </c>
      <c r="B56" t="s">
        <v>8</v>
      </c>
      <c r="C56">
        <v>7406</v>
      </c>
      <c r="D56">
        <v>813</v>
      </c>
      <c r="E56">
        <v>405141</v>
      </c>
      <c r="F56">
        <f>Engagement_Summary[[#This Row],[New_Followers]]-Engagement_Summary[[#This Row],[Unfollows]]</f>
        <v>6593</v>
      </c>
      <c r="G56">
        <v>24.457411123534769</v>
      </c>
      <c r="H56">
        <v>13390</v>
      </c>
    </row>
    <row r="57" spans="1:8" x14ac:dyDescent="0.35">
      <c r="A57" s="1">
        <v>45537</v>
      </c>
      <c r="B57" t="s">
        <v>10</v>
      </c>
      <c r="C57">
        <v>9591</v>
      </c>
      <c r="D57">
        <v>1363</v>
      </c>
      <c r="E57">
        <v>413369</v>
      </c>
      <c r="F57">
        <f>Engagement_Summary[[#This Row],[New_Followers]]-Engagement_Summary[[#This Row],[Unfollows]]</f>
        <v>8228</v>
      </c>
      <c r="G57">
        <v>10.494255737609739</v>
      </c>
      <c r="H57">
        <v>15997</v>
      </c>
    </row>
    <row r="58" spans="1:8" x14ac:dyDescent="0.35">
      <c r="A58" s="1">
        <v>45544</v>
      </c>
      <c r="B58" t="s">
        <v>7</v>
      </c>
      <c r="C58">
        <v>7907</v>
      </c>
      <c r="D58">
        <v>465</v>
      </c>
      <c r="E58">
        <v>420811</v>
      </c>
      <c r="F58">
        <f>Engagement_Summary[[#This Row],[New_Followers]]-Engagement_Summary[[#This Row],[Unfollows]]</f>
        <v>7442</v>
      </c>
      <c r="G58">
        <v>33.257448118038738</v>
      </c>
      <c r="H58">
        <v>22693</v>
      </c>
    </row>
    <row r="59" spans="1:8" x14ac:dyDescent="0.35">
      <c r="A59" s="1">
        <v>45544</v>
      </c>
      <c r="B59" t="s">
        <v>9</v>
      </c>
      <c r="C59">
        <v>9800</v>
      </c>
      <c r="D59">
        <v>682</v>
      </c>
      <c r="E59">
        <v>429929</v>
      </c>
      <c r="F59">
        <f>Engagement_Summary[[#This Row],[New_Followers]]-Engagement_Summary[[#This Row],[Unfollows]]</f>
        <v>9118</v>
      </c>
      <c r="G59">
        <v>6.2966210699906267</v>
      </c>
      <c r="H59">
        <v>59815</v>
      </c>
    </row>
    <row r="60" spans="1:8" x14ac:dyDescent="0.35">
      <c r="A60" s="1">
        <v>45544</v>
      </c>
      <c r="B60" t="s">
        <v>9</v>
      </c>
      <c r="C60">
        <v>2638</v>
      </c>
      <c r="D60">
        <v>143</v>
      </c>
      <c r="E60">
        <v>432424</v>
      </c>
      <c r="F60">
        <f>Engagement_Summary[[#This Row],[New_Followers]]-Engagement_Summary[[#This Row],[Unfollows]]</f>
        <v>2495</v>
      </c>
      <c r="G60">
        <v>6.9547481175882924</v>
      </c>
      <c r="H60">
        <v>52092</v>
      </c>
    </row>
    <row r="61" spans="1:8" x14ac:dyDescent="0.35">
      <c r="A61" s="1">
        <v>45544</v>
      </c>
      <c r="B61" t="s">
        <v>10</v>
      </c>
      <c r="C61">
        <v>6671</v>
      </c>
      <c r="D61">
        <v>550</v>
      </c>
      <c r="E61">
        <v>438545</v>
      </c>
      <c r="F61">
        <f>Engagement_Summary[[#This Row],[New_Followers]]-Engagement_Summary[[#This Row],[Unfollows]]</f>
        <v>6121</v>
      </c>
      <c r="G61">
        <v>17.750287883797562</v>
      </c>
      <c r="H61">
        <v>10541</v>
      </c>
    </row>
    <row r="62" spans="1:8" x14ac:dyDescent="0.35">
      <c r="A62" s="1">
        <v>45551</v>
      </c>
      <c r="B62" t="s">
        <v>9</v>
      </c>
      <c r="C62">
        <v>7928</v>
      </c>
      <c r="D62">
        <v>704</v>
      </c>
      <c r="E62">
        <v>445769</v>
      </c>
      <c r="F62">
        <f>Engagement_Summary[[#This Row],[New_Followers]]-Engagement_Summary[[#This Row],[Unfollows]]</f>
        <v>7224</v>
      </c>
      <c r="G62">
        <v>11.194362999670229</v>
      </c>
      <c r="H62">
        <v>31817</v>
      </c>
    </row>
    <row r="63" spans="1:8" x14ac:dyDescent="0.35">
      <c r="A63" s="1">
        <v>45551</v>
      </c>
      <c r="B63" t="s">
        <v>10</v>
      </c>
      <c r="C63">
        <v>2382</v>
      </c>
      <c r="D63">
        <v>183</v>
      </c>
      <c r="E63">
        <v>447968</v>
      </c>
      <c r="F63">
        <f>Engagement_Summary[[#This Row],[New_Followers]]-Engagement_Summary[[#This Row],[Unfollows]]</f>
        <v>2199</v>
      </c>
      <c r="G63">
        <v>4.7335970426459033</v>
      </c>
      <c r="H63">
        <v>47861</v>
      </c>
    </row>
    <row r="64" spans="1:8" x14ac:dyDescent="0.35">
      <c r="A64" s="1">
        <v>45551</v>
      </c>
      <c r="B64" t="s">
        <v>9</v>
      </c>
      <c r="C64">
        <v>2403</v>
      </c>
      <c r="D64">
        <v>319</v>
      </c>
      <c r="E64">
        <v>450052</v>
      </c>
      <c r="F64">
        <f>Engagement_Summary[[#This Row],[New_Followers]]-Engagement_Summary[[#This Row],[Unfollows]]</f>
        <v>2084</v>
      </c>
      <c r="G64">
        <v>29.92120910472568</v>
      </c>
      <c r="H64">
        <v>23428</v>
      </c>
    </row>
    <row r="65" spans="1:8" x14ac:dyDescent="0.35">
      <c r="A65" s="1">
        <v>45551</v>
      </c>
      <c r="B65" t="s">
        <v>8</v>
      </c>
      <c r="C65">
        <v>4292</v>
      </c>
      <c r="D65">
        <v>367</v>
      </c>
      <c r="E65">
        <v>453977</v>
      </c>
      <c r="F65">
        <f>Engagement_Summary[[#This Row],[New_Followers]]-Engagement_Summary[[#This Row],[Unfollows]]</f>
        <v>3925</v>
      </c>
      <c r="G65">
        <v>3.5037017293827661</v>
      </c>
      <c r="H65">
        <v>53934</v>
      </c>
    </row>
    <row r="66" spans="1:8" x14ac:dyDescent="0.35">
      <c r="A66" s="1">
        <v>45558</v>
      </c>
      <c r="B66" t="s">
        <v>7</v>
      </c>
      <c r="C66">
        <v>1419</v>
      </c>
      <c r="D66">
        <v>110</v>
      </c>
      <c r="E66">
        <v>455286</v>
      </c>
      <c r="F66">
        <f>Engagement_Summary[[#This Row],[New_Followers]]-Engagement_Summary[[#This Row],[Unfollows]]</f>
        <v>1309</v>
      </c>
      <c r="G66">
        <v>31.554451487636339</v>
      </c>
      <c r="H66">
        <v>58831</v>
      </c>
    </row>
    <row r="67" spans="1:8" x14ac:dyDescent="0.35">
      <c r="A67" s="1">
        <v>45558</v>
      </c>
      <c r="B67" t="s">
        <v>8</v>
      </c>
      <c r="C67">
        <v>5517</v>
      </c>
      <c r="D67">
        <v>575</v>
      </c>
      <c r="E67">
        <v>460228</v>
      </c>
      <c r="F67">
        <f>Engagement_Summary[[#This Row],[New_Followers]]-Engagement_Summary[[#This Row],[Unfollows]]</f>
        <v>4942</v>
      </c>
      <c r="G67">
        <v>29.45844233727631</v>
      </c>
      <c r="H67">
        <v>20258</v>
      </c>
    </row>
    <row r="68" spans="1:8" x14ac:dyDescent="0.35">
      <c r="A68" s="1">
        <v>45558</v>
      </c>
      <c r="B68" t="s">
        <v>7</v>
      </c>
      <c r="C68">
        <v>4302</v>
      </c>
      <c r="D68">
        <v>275</v>
      </c>
      <c r="E68">
        <v>464255</v>
      </c>
      <c r="F68">
        <f>Engagement_Summary[[#This Row],[New_Followers]]-Engagement_Summary[[#This Row],[Unfollows]]</f>
        <v>4027</v>
      </c>
      <c r="G68">
        <v>15.72131694865968</v>
      </c>
      <c r="H68">
        <v>26044</v>
      </c>
    </row>
    <row r="69" spans="1:8" x14ac:dyDescent="0.35">
      <c r="A69" s="1">
        <v>45558</v>
      </c>
      <c r="B69" t="s">
        <v>7</v>
      </c>
      <c r="C69">
        <v>8857</v>
      </c>
      <c r="D69">
        <v>1153</v>
      </c>
      <c r="E69">
        <v>471959</v>
      </c>
      <c r="F69">
        <f>Engagement_Summary[[#This Row],[New_Followers]]-Engagement_Summary[[#This Row],[Unfollows]]</f>
        <v>7704</v>
      </c>
      <c r="G69">
        <v>19.214592793018038</v>
      </c>
      <c r="H69">
        <v>39411</v>
      </c>
    </row>
    <row r="70" spans="1:8" x14ac:dyDescent="0.35">
      <c r="A70" s="1">
        <v>45565</v>
      </c>
      <c r="B70" t="s">
        <v>7</v>
      </c>
      <c r="C70">
        <v>8870</v>
      </c>
      <c r="D70">
        <v>509</v>
      </c>
      <c r="E70">
        <v>480320</v>
      </c>
      <c r="F70">
        <f>Engagement_Summary[[#This Row],[New_Followers]]-Engagement_Summary[[#This Row],[Unfollows]]</f>
        <v>8361</v>
      </c>
      <c r="G70">
        <v>25.077864756828781</v>
      </c>
      <c r="H70">
        <v>15469</v>
      </c>
    </row>
    <row r="71" spans="1:8" x14ac:dyDescent="0.35">
      <c r="A71" s="1">
        <v>45565</v>
      </c>
      <c r="B71" t="s">
        <v>8</v>
      </c>
      <c r="C71">
        <v>6693</v>
      </c>
      <c r="D71">
        <v>995</v>
      </c>
      <c r="E71">
        <v>486018</v>
      </c>
      <c r="F71">
        <f>Engagement_Summary[[#This Row],[New_Followers]]-Engagement_Summary[[#This Row],[Unfollows]]</f>
        <v>5698</v>
      </c>
      <c r="G71">
        <v>23.761877132122681</v>
      </c>
      <c r="H71">
        <v>38854</v>
      </c>
    </row>
    <row r="72" spans="1:8" x14ac:dyDescent="0.35">
      <c r="A72" s="1">
        <v>45565</v>
      </c>
      <c r="B72" t="s">
        <v>7</v>
      </c>
      <c r="C72">
        <v>1767</v>
      </c>
      <c r="D72">
        <v>224</v>
      </c>
      <c r="E72">
        <v>487561</v>
      </c>
      <c r="F72">
        <f>Engagement_Summary[[#This Row],[New_Followers]]-Engagement_Summary[[#This Row],[Unfollows]]</f>
        <v>1543</v>
      </c>
      <c r="G72">
        <v>13.208603641390511</v>
      </c>
      <c r="H72">
        <v>16256</v>
      </c>
    </row>
    <row r="73" spans="1:8" x14ac:dyDescent="0.35">
      <c r="A73" s="1">
        <v>45565</v>
      </c>
      <c r="B73" t="s">
        <v>8</v>
      </c>
      <c r="C73">
        <v>3044</v>
      </c>
      <c r="D73">
        <v>212</v>
      </c>
      <c r="E73">
        <v>490393</v>
      </c>
      <c r="F73">
        <f>Engagement_Summary[[#This Row],[New_Followers]]-Engagement_Summary[[#This Row],[Unfollows]]</f>
        <v>2832</v>
      </c>
      <c r="G73">
        <v>8.5343795690395261</v>
      </c>
      <c r="H73">
        <v>20720</v>
      </c>
    </row>
    <row r="74" spans="1:8" x14ac:dyDescent="0.35">
      <c r="A74" s="1">
        <v>45572</v>
      </c>
      <c r="B74" t="s">
        <v>10</v>
      </c>
      <c r="C74">
        <v>2549</v>
      </c>
      <c r="D74">
        <v>128</v>
      </c>
      <c r="E74">
        <v>492814</v>
      </c>
      <c r="F74">
        <f>Engagement_Summary[[#This Row],[New_Followers]]-Engagement_Summary[[#This Row],[Unfollows]]</f>
        <v>2421</v>
      </c>
      <c r="G74">
        <v>12.734216154573531</v>
      </c>
      <c r="H74">
        <v>43937</v>
      </c>
    </row>
    <row r="75" spans="1:8" x14ac:dyDescent="0.35">
      <c r="A75" s="1">
        <v>45572</v>
      </c>
      <c r="B75" t="s">
        <v>9</v>
      </c>
      <c r="C75">
        <v>7140</v>
      </c>
      <c r="D75">
        <v>939</v>
      </c>
      <c r="E75">
        <v>499015</v>
      </c>
      <c r="F75">
        <f>Engagement_Summary[[#This Row],[New_Followers]]-Engagement_Summary[[#This Row],[Unfollows]]</f>
        <v>6201</v>
      </c>
      <c r="G75">
        <v>25.120888149654821</v>
      </c>
      <c r="H75">
        <v>43598</v>
      </c>
    </row>
    <row r="76" spans="1:8" x14ac:dyDescent="0.35">
      <c r="A76" s="1">
        <v>45572</v>
      </c>
      <c r="B76" t="s">
        <v>9</v>
      </c>
      <c r="C76">
        <v>4716</v>
      </c>
      <c r="D76">
        <v>569</v>
      </c>
      <c r="E76">
        <v>503162</v>
      </c>
      <c r="F76">
        <f>Engagement_Summary[[#This Row],[New_Followers]]-Engagement_Summary[[#This Row],[Unfollows]]</f>
        <v>4147</v>
      </c>
      <c r="G76">
        <v>25.64820077827817</v>
      </c>
      <c r="H76">
        <v>11651</v>
      </c>
    </row>
    <row r="77" spans="1:8" x14ac:dyDescent="0.35">
      <c r="A77" s="1">
        <v>45572</v>
      </c>
      <c r="B77" t="s">
        <v>7</v>
      </c>
      <c r="C77">
        <v>5481</v>
      </c>
      <c r="D77">
        <v>673</v>
      </c>
      <c r="E77">
        <v>507970</v>
      </c>
      <c r="F77">
        <f>Engagement_Summary[[#This Row],[New_Followers]]-Engagement_Summary[[#This Row],[Unfollows]]</f>
        <v>4808</v>
      </c>
      <c r="G77">
        <v>13.08758391243577</v>
      </c>
      <c r="H77">
        <v>29194</v>
      </c>
    </row>
    <row r="78" spans="1:8" x14ac:dyDescent="0.35">
      <c r="A78" s="1">
        <v>45579</v>
      </c>
      <c r="B78" t="s">
        <v>8</v>
      </c>
      <c r="C78">
        <v>8898</v>
      </c>
      <c r="D78">
        <v>1131</v>
      </c>
      <c r="E78">
        <v>515737</v>
      </c>
      <c r="F78">
        <f>Engagement_Summary[[#This Row],[New_Followers]]-Engagement_Summary[[#This Row],[Unfollows]]</f>
        <v>7767</v>
      </c>
      <c r="G78">
        <v>2.1877429775253669</v>
      </c>
      <c r="H78">
        <v>35051</v>
      </c>
    </row>
    <row r="79" spans="1:8" x14ac:dyDescent="0.35">
      <c r="A79" s="1">
        <v>45579</v>
      </c>
      <c r="B79" t="s">
        <v>9</v>
      </c>
      <c r="C79">
        <v>7548</v>
      </c>
      <c r="D79">
        <v>433</v>
      </c>
      <c r="E79">
        <v>522852</v>
      </c>
      <c r="F79">
        <f>Engagement_Summary[[#This Row],[New_Followers]]-Engagement_Summary[[#This Row],[Unfollows]]</f>
        <v>7115</v>
      </c>
      <c r="G79">
        <v>8.3562843787534522</v>
      </c>
      <c r="H79">
        <v>37386</v>
      </c>
    </row>
    <row r="80" spans="1:8" x14ac:dyDescent="0.35">
      <c r="A80" s="1">
        <v>45579</v>
      </c>
      <c r="B80" t="s">
        <v>8</v>
      </c>
      <c r="C80">
        <v>3293</v>
      </c>
      <c r="D80">
        <v>282</v>
      </c>
      <c r="E80">
        <v>525863</v>
      </c>
      <c r="F80">
        <f>Engagement_Summary[[#This Row],[New_Followers]]-Engagement_Summary[[#This Row],[Unfollows]]</f>
        <v>3011</v>
      </c>
      <c r="G80">
        <v>27.040693108281051</v>
      </c>
      <c r="H80">
        <v>19518</v>
      </c>
    </row>
    <row r="81" spans="1:8" x14ac:dyDescent="0.35">
      <c r="A81" s="1">
        <v>45579</v>
      </c>
      <c r="B81" t="s">
        <v>8</v>
      </c>
      <c r="C81">
        <v>5837</v>
      </c>
      <c r="D81">
        <v>359</v>
      </c>
      <c r="E81">
        <v>531341</v>
      </c>
      <c r="F81">
        <f>Engagement_Summary[[#This Row],[New_Followers]]-Engagement_Summary[[#This Row],[Unfollows]]</f>
        <v>5478</v>
      </c>
      <c r="G81">
        <v>6.8073045370110723</v>
      </c>
      <c r="H81">
        <v>56026</v>
      </c>
    </row>
    <row r="82" spans="1:8" x14ac:dyDescent="0.35">
      <c r="A82" s="1">
        <v>45586</v>
      </c>
      <c r="B82" t="s">
        <v>7</v>
      </c>
      <c r="C82">
        <v>8758</v>
      </c>
      <c r="D82">
        <v>1193</v>
      </c>
      <c r="E82">
        <v>538906</v>
      </c>
      <c r="F82">
        <f>Engagement_Summary[[#This Row],[New_Followers]]-Engagement_Summary[[#This Row],[Unfollows]]</f>
        <v>7565</v>
      </c>
      <c r="G82">
        <v>3.4213758985797149</v>
      </c>
      <c r="H82">
        <v>26184</v>
      </c>
    </row>
    <row r="83" spans="1:8" x14ac:dyDescent="0.35">
      <c r="A83" s="1">
        <v>45586</v>
      </c>
      <c r="B83" t="s">
        <v>9</v>
      </c>
      <c r="C83">
        <v>7793</v>
      </c>
      <c r="D83">
        <v>875</v>
      </c>
      <c r="E83">
        <v>545824</v>
      </c>
      <c r="F83">
        <f>Engagement_Summary[[#This Row],[New_Followers]]-Engagement_Summary[[#This Row],[Unfollows]]</f>
        <v>6918</v>
      </c>
      <c r="G83">
        <v>5.5136820660139527</v>
      </c>
      <c r="H83">
        <v>43787</v>
      </c>
    </row>
    <row r="84" spans="1:8" x14ac:dyDescent="0.35">
      <c r="A84" s="1">
        <v>45586</v>
      </c>
      <c r="B84" t="s">
        <v>7</v>
      </c>
      <c r="C84">
        <v>8638</v>
      </c>
      <c r="D84">
        <v>717</v>
      </c>
      <c r="E84">
        <v>553745</v>
      </c>
      <c r="F84">
        <f>Engagement_Summary[[#This Row],[New_Followers]]-Engagement_Summary[[#This Row],[Unfollows]]</f>
        <v>7921</v>
      </c>
      <c r="G84">
        <v>26.921416897669499</v>
      </c>
      <c r="H84">
        <v>31621</v>
      </c>
    </row>
    <row r="85" spans="1:8" x14ac:dyDescent="0.35">
      <c r="A85" s="1">
        <v>45586</v>
      </c>
      <c r="B85" t="s">
        <v>7</v>
      </c>
      <c r="C85">
        <v>8993</v>
      </c>
      <c r="D85">
        <v>506</v>
      </c>
      <c r="E85">
        <v>562232</v>
      </c>
      <c r="F85">
        <f>Engagement_Summary[[#This Row],[New_Followers]]-Engagement_Summary[[#This Row],[Unfollows]]</f>
        <v>8487</v>
      </c>
      <c r="G85">
        <v>3.5131404829323132</v>
      </c>
      <c r="H85">
        <v>20028</v>
      </c>
    </row>
    <row r="86" spans="1:8" x14ac:dyDescent="0.35">
      <c r="A86" s="1">
        <v>45593</v>
      </c>
      <c r="B86" t="s">
        <v>9</v>
      </c>
      <c r="C86">
        <v>7007</v>
      </c>
      <c r="D86">
        <v>568</v>
      </c>
      <c r="E86">
        <v>568671</v>
      </c>
      <c r="F86">
        <f>Engagement_Summary[[#This Row],[New_Followers]]-Engagement_Summary[[#This Row],[Unfollows]]</f>
        <v>6439</v>
      </c>
      <c r="G86">
        <v>11.50507059442103</v>
      </c>
      <c r="H86">
        <v>22448</v>
      </c>
    </row>
    <row r="87" spans="1:8" x14ac:dyDescent="0.35">
      <c r="A87" s="1">
        <v>45593</v>
      </c>
      <c r="B87" t="s">
        <v>9</v>
      </c>
      <c r="C87">
        <v>6542</v>
      </c>
      <c r="D87">
        <v>539</v>
      </c>
      <c r="E87">
        <v>574674</v>
      </c>
      <c r="F87">
        <f>Engagement_Summary[[#This Row],[New_Followers]]-Engagement_Summary[[#This Row],[Unfollows]]</f>
        <v>6003</v>
      </c>
      <c r="G87">
        <v>6.4069368024305948</v>
      </c>
      <c r="H87">
        <v>55253</v>
      </c>
    </row>
    <row r="88" spans="1:8" x14ac:dyDescent="0.35">
      <c r="A88" s="1">
        <v>45593</v>
      </c>
      <c r="B88" t="s">
        <v>10</v>
      </c>
      <c r="C88">
        <v>7356</v>
      </c>
      <c r="D88">
        <v>904</v>
      </c>
      <c r="E88">
        <v>581126</v>
      </c>
      <c r="F88">
        <f>Engagement_Summary[[#This Row],[New_Followers]]-Engagement_Summary[[#This Row],[Unfollows]]</f>
        <v>6452</v>
      </c>
      <c r="G88">
        <v>17.560907617280929</v>
      </c>
      <c r="H88">
        <v>44051</v>
      </c>
    </row>
    <row r="89" spans="1:8" x14ac:dyDescent="0.35">
      <c r="A89" s="1">
        <v>45593</v>
      </c>
      <c r="B89" t="s">
        <v>10</v>
      </c>
      <c r="C89">
        <v>9433</v>
      </c>
      <c r="D89">
        <v>1073</v>
      </c>
      <c r="E89">
        <v>589486</v>
      </c>
      <c r="F89">
        <f>Engagement_Summary[[#This Row],[New_Followers]]-Engagement_Summary[[#This Row],[Unfollows]]</f>
        <v>8360</v>
      </c>
      <c r="G89">
        <v>7.2934726185185053</v>
      </c>
      <c r="H89">
        <v>59811</v>
      </c>
    </row>
    <row r="90" spans="1:8" x14ac:dyDescent="0.35">
      <c r="A90" s="1">
        <v>45600</v>
      </c>
      <c r="B90" t="s">
        <v>8</v>
      </c>
      <c r="C90">
        <v>8380</v>
      </c>
      <c r="D90">
        <v>1162</v>
      </c>
      <c r="E90">
        <v>596704</v>
      </c>
      <c r="F90">
        <f>Engagement_Summary[[#This Row],[New_Followers]]-Engagement_Summary[[#This Row],[Unfollows]]</f>
        <v>7218</v>
      </c>
      <c r="G90">
        <v>18.05853488496809</v>
      </c>
      <c r="H90">
        <v>40447</v>
      </c>
    </row>
    <row r="91" spans="1:8" x14ac:dyDescent="0.35">
      <c r="A91" s="1">
        <v>45600</v>
      </c>
      <c r="B91" t="s">
        <v>9</v>
      </c>
      <c r="C91">
        <v>3385</v>
      </c>
      <c r="D91">
        <v>329</v>
      </c>
      <c r="E91">
        <v>599760</v>
      </c>
      <c r="F91">
        <f>Engagement_Summary[[#This Row],[New_Followers]]-Engagement_Summary[[#This Row],[Unfollows]]</f>
        <v>3056</v>
      </c>
      <c r="G91">
        <v>17.61788048552755</v>
      </c>
      <c r="H91">
        <v>28394</v>
      </c>
    </row>
    <row r="92" spans="1:8" x14ac:dyDescent="0.35">
      <c r="A92" s="1">
        <v>45600</v>
      </c>
      <c r="B92" t="s">
        <v>10</v>
      </c>
      <c r="C92">
        <v>5268</v>
      </c>
      <c r="D92">
        <v>326</v>
      </c>
      <c r="E92">
        <v>604702</v>
      </c>
      <c r="F92">
        <f>Engagement_Summary[[#This Row],[New_Followers]]-Engagement_Summary[[#This Row],[Unfollows]]</f>
        <v>4942</v>
      </c>
      <c r="G92">
        <v>23.435841125050029</v>
      </c>
      <c r="H92">
        <v>44501</v>
      </c>
    </row>
    <row r="93" spans="1:8" x14ac:dyDescent="0.35">
      <c r="A93" s="1">
        <v>45600</v>
      </c>
      <c r="B93" t="s">
        <v>8</v>
      </c>
      <c r="C93">
        <v>1671</v>
      </c>
      <c r="D93">
        <v>202</v>
      </c>
      <c r="E93">
        <v>606171</v>
      </c>
      <c r="F93">
        <f>Engagement_Summary[[#This Row],[New_Followers]]-Engagement_Summary[[#This Row],[Unfollows]]</f>
        <v>1469</v>
      </c>
      <c r="G93">
        <v>15.150015424690389</v>
      </c>
      <c r="H93">
        <v>40254</v>
      </c>
    </row>
    <row r="94" spans="1:8" x14ac:dyDescent="0.35">
      <c r="A94" s="1">
        <v>45607</v>
      </c>
      <c r="B94" t="s">
        <v>8</v>
      </c>
      <c r="C94">
        <v>1163</v>
      </c>
      <c r="D94">
        <v>146</v>
      </c>
      <c r="E94">
        <v>607188</v>
      </c>
      <c r="F94">
        <f>Engagement_Summary[[#This Row],[New_Followers]]-Engagement_Summary[[#This Row],[Unfollows]]</f>
        <v>1017</v>
      </c>
      <c r="G94">
        <v>21.77776899411715</v>
      </c>
      <c r="H94">
        <v>28509</v>
      </c>
    </row>
    <row r="95" spans="1:8" x14ac:dyDescent="0.35">
      <c r="A95" s="1">
        <v>45607</v>
      </c>
      <c r="B95" t="s">
        <v>8</v>
      </c>
      <c r="C95">
        <v>9656</v>
      </c>
      <c r="D95">
        <v>1024</v>
      </c>
      <c r="E95">
        <v>615820</v>
      </c>
      <c r="F95">
        <f>Engagement_Summary[[#This Row],[New_Followers]]-Engagement_Summary[[#This Row],[Unfollows]]</f>
        <v>8632</v>
      </c>
      <c r="G95">
        <v>8.7252768666168681</v>
      </c>
      <c r="H95">
        <v>58998</v>
      </c>
    </row>
    <row r="96" spans="1:8" x14ac:dyDescent="0.35">
      <c r="A96" s="1">
        <v>45607</v>
      </c>
      <c r="B96" t="s">
        <v>10</v>
      </c>
      <c r="C96">
        <v>5592</v>
      </c>
      <c r="D96">
        <v>710</v>
      </c>
      <c r="E96">
        <v>620702</v>
      </c>
      <c r="F96">
        <f>Engagement_Summary[[#This Row],[New_Followers]]-Engagement_Summary[[#This Row],[Unfollows]]</f>
        <v>4882</v>
      </c>
      <c r="G96">
        <v>9.07118069540617</v>
      </c>
      <c r="H96">
        <v>24472</v>
      </c>
    </row>
    <row r="97" spans="1:8" x14ac:dyDescent="0.35">
      <c r="A97" s="1">
        <v>45607</v>
      </c>
      <c r="B97" t="s">
        <v>9</v>
      </c>
      <c r="C97">
        <v>5795</v>
      </c>
      <c r="D97">
        <v>575</v>
      </c>
      <c r="E97">
        <v>625922</v>
      </c>
      <c r="F97">
        <f>Engagement_Summary[[#This Row],[New_Followers]]-Engagement_Summary[[#This Row],[Unfollows]]</f>
        <v>5220</v>
      </c>
      <c r="G97">
        <v>3.0908004511744269</v>
      </c>
      <c r="H97">
        <v>55657</v>
      </c>
    </row>
    <row r="98" spans="1:8" x14ac:dyDescent="0.35">
      <c r="A98" s="1">
        <v>45614</v>
      </c>
      <c r="B98" t="s">
        <v>7</v>
      </c>
      <c r="C98">
        <v>5798</v>
      </c>
      <c r="D98">
        <v>592</v>
      </c>
      <c r="E98">
        <v>631128</v>
      </c>
      <c r="F98">
        <f>Engagement_Summary[[#This Row],[New_Followers]]-Engagement_Summary[[#This Row],[Unfollows]]</f>
        <v>5206</v>
      </c>
      <c r="G98">
        <v>1.6774727155188811</v>
      </c>
      <c r="H98">
        <v>13471</v>
      </c>
    </row>
    <row r="99" spans="1:8" x14ac:dyDescent="0.35">
      <c r="A99" s="1">
        <v>45614</v>
      </c>
      <c r="B99" t="s">
        <v>8</v>
      </c>
      <c r="C99">
        <v>7036</v>
      </c>
      <c r="D99">
        <v>652</v>
      </c>
      <c r="E99">
        <v>637512</v>
      </c>
      <c r="F99">
        <f>Engagement_Summary[[#This Row],[New_Followers]]-Engagement_Summary[[#This Row],[Unfollows]]</f>
        <v>6384</v>
      </c>
      <c r="G99">
        <v>3.5705994553828009</v>
      </c>
      <c r="H99">
        <v>51796</v>
      </c>
    </row>
    <row r="100" spans="1:8" x14ac:dyDescent="0.35">
      <c r="A100" s="1">
        <v>45614</v>
      </c>
      <c r="B100" t="s">
        <v>10</v>
      </c>
      <c r="C100">
        <v>3355</v>
      </c>
      <c r="D100">
        <v>176</v>
      </c>
      <c r="E100">
        <v>640691</v>
      </c>
      <c r="F100">
        <f>Engagement_Summary[[#This Row],[New_Followers]]-Engagement_Summary[[#This Row],[Unfollows]]</f>
        <v>3179</v>
      </c>
      <c r="G100">
        <v>12.426427091999111</v>
      </c>
      <c r="H100">
        <v>40268</v>
      </c>
    </row>
    <row r="101" spans="1:8" x14ac:dyDescent="0.35">
      <c r="A101" s="1">
        <v>45614</v>
      </c>
      <c r="B101" t="s">
        <v>10</v>
      </c>
      <c r="C101">
        <v>6887</v>
      </c>
      <c r="D101">
        <v>418</v>
      </c>
      <c r="E101">
        <v>647160</v>
      </c>
      <c r="F101">
        <f>Engagement_Summary[[#This Row],[New_Followers]]-Engagement_Summary[[#This Row],[Unfollows]]</f>
        <v>6469</v>
      </c>
      <c r="G101">
        <v>20.240280610668151</v>
      </c>
      <c r="H101">
        <v>18329</v>
      </c>
    </row>
    <row r="102" spans="1:8" x14ac:dyDescent="0.35">
      <c r="A102" s="1">
        <v>45621</v>
      </c>
      <c r="B102" t="s">
        <v>7</v>
      </c>
      <c r="C102">
        <v>8961</v>
      </c>
      <c r="D102">
        <v>476</v>
      </c>
      <c r="E102">
        <v>655645</v>
      </c>
      <c r="F102">
        <f>Engagement_Summary[[#This Row],[New_Followers]]-Engagement_Summary[[#This Row],[Unfollows]]</f>
        <v>8485</v>
      </c>
      <c r="G102">
        <v>15.458517947974901</v>
      </c>
      <c r="H102">
        <v>44865</v>
      </c>
    </row>
    <row r="103" spans="1:8" x14ac:dyDescent="0.35">
      <c r="A103" s="1">
        <v>45621</v>
      </c>
      <c r="B103" t="s">
        <v>7</v>
      </c>
      <c r="C103">
        <v>6827</v>
      </c>
      <c r="D103">
        <v>775</v>
      </c>
      <c r="E103">
        <v>661697</v>
      </c>
      <c r="F103">
        <f>Engagement_Summary[[#This Row],[New_Followers]]-Engagement_Summary[[#This Row],[Unfollows]]</f>
        <v>6052</v>
      </c>
      <c r="G103">
        <v>15.96622018839439</v>
      </c>
      <c r="H103">
        <v>56850</v>
      </c>
    </row>
    <row r="104" spans="1:8" x14ac:dyDescent="0.35">
      <c r="A104" s="1">
        <v>45621</v>
      </c>
      <c r="B104" t="s">
        <v>10</v>
      </c>
      <c r="C104">
        <v>9737</v>
      </c>
      <c r="D104">
        <v>792</v>
      </c>
      <c r="E104">
        <v>670642</v>
      </c>
      <c r="F104">
        <f>Engagement_Summary[[#This Row],[New_Followers]]-Engagement_Summary[[#This Row],[Unfollows]]</f>
        <v>8945</v>
      </c>
      <c r="G104">
        <v>5.301785453341723</v>
      </c>
      <c r="H104">
        <v>56698</v>
      </c>
    </row>
    <row r="105" spans="1:8" x14ac:dyDescent="0.35">
      <c r="A105" s="1">
        <v>45621</v>
      </c>
      <c r="B105" t="s">
        <v>9</v>
      </c>
      <c r="C105">
        <v>5719</v>
      </c>
      <c r="D105">
        <v>576</v>
      </c>
      <c r="E105">
        <v>675785</v>
      </c>
      <c r="F105">
        <f>Engagement_Summary[[#This Row],[New_Followers]]-Engagement_Summary[[#This Row],[Unfollows]]</f>
        <v>5143</v>
      </c>
      <c r="G105">
        <v>10.21656296011305</v>
      </c>
      <c r="H105">
        <v>38272</v>
      </c>
    </row>
    <row r="106" spans="1:8" x14ac:dyDescent="0.35">
      <c r="A106" s="1">
        <v>45628</v>
      </c>
      <c r="B106" t="s">
        <v>7</v>
      </c>
      <c r="C106">
        <v>1593</v>
      </c>
      <c r="D106">
        <v>224</v>
      </c>
      <c r="E106">
        <v>677154</v>
      </c>
      <c r="F106">
        <f>Engagement_Summary[[#This Row],[New_Followers]]-Engagement_Summary[[#This Row],[Unfollows]]</f>
        <v>1369</v>
      </c>
      <c r="G106">
        <v>4.1495730660972248</v>
      </c>
      <c r="H106">
        <v>52845</v>
      </c>
    </row>
    <row r="107" spans="1:8" x14ac:dyDescent="0.35">
      <c r="A107" s="1">
        <v>45628</v>
      </c>
      <c r="B107" t="s">
        <v>10</v>
      </c>
      <c r="C107">
        <v>5839</v>
      </c>
      <c r="D107">
        <v>437</v>
      </c>
      <c r="E107">
        <v>682556</v>
      </c>
      <c r="F107">
        <f>Engagement_Summary[[#This Row],[New_Followers]]-Engagement_Summary[[#This Row],[Unfollows]]</f>
        <v>5402</v>
      </c>
      <c r="G107">
        <v>17.44750613869045</v>
      </c>
      <c r="H107">
        <v>16397</v>
      </c>
    </row>
    <row r="108" spans="1:8" x14ac:dyDescent="0.35">
      <c r="A108" s="1">
        <v>45628</v>
      </c>
      <c r="B108" t="s">
        <v>7</v>
      </c>
      <c r="C108">
        <v>8394</v>
      </c>
      <c r="D108">
        <v>764</v>
      </c>
      <c r="E108">
        <v>690186</v>
      </c>
      <c r="F108">
        <f>Engagement_Summary[[#This Row],[New_Followers]]-Engagement_Summary[[#This Row],[Unfollows]]</f>
        <v>7630</v>
      </c>
      <c r="G108">
        <v>6.3556780346167558</v>
      </c>
      <c r="H108">
        <v>42373</v>
      </c>
    </row>
    <row r="109" spans="1:8" x14ac:dyDescent="0.35">
      <c r="A109" s="1">
        <v>45628</v>
      </c>
      <c r="B109" t="s">
        <v>9</v>
      </c>
      <c r="C109">
        <v>4493</v>
      </c>
      <c r="D109">
        <v>564</v>
      </c>
      <c r="E109">
        <v>694115</v>
      </c>
      <c r="F109">
        <f>Engagement_Summary[[#This Row],[New_Followers]]-Engagement_Summary[[#This Row],[Unfollows]]</f>
        <v>3929</v>
      </c>
      <c r="G109">
        <v>16.625487131094989</v>
      </c>
      <c r="H109">
        <v>45525</v>
      </c>
    </row>
    <row r="110" spans="1:8" x14ac:dyDescent="0.35">
      <c r="A110" s="1">
        <v>45635</v>
      </c>
      <c r="B110" t="s">
        <v>8</v>
      </c>
      <c r="C110">
        <v>7164</v>
      </c>
      <c r="D110">
        <v>522</v>
      </c>
      <c r="E110">
        <v>700757</v>
      </c>
      <c r="F110">
        <f>Engagement_Summary[[#This Row],[New_Followers]]-Engagement_Summary[[#This Row],[Unfollows]]</f>
        <v>6642</v>
      </c>
      <c r="G110">
        <v>13.449169969047761</v>
      </c>
      <c r="H110">
        <v>34570</v>
      </c>
    </row>
    <row r="111" spans="1:8" x14ac:dyDescent="0.35">
      <c r="A111" s="1">
        <v>45635</v>
      </c>
      <c r="B111" t="s">
        <v>7</v>
      </c>
      <c r="C111">
        <v>3672</v>
      </c>
      <c r="D111">
        <v>211</v>
      </c>
      <c r="E111">
        <v>704218</v>
      </c>
      <c r="F111">
        <f>Engagement_Summary[[#This Row],[New_Followers]]-Engagement_Summary[[#This Row],[Unfollows]]</f>
        <v>3461</v>
      </c>
      <c r="G111">
        <v>12.35057894004413</v>
      </c>
      <c r="H111">
        <v>28284</v>
      </c>
    </row>
    <row r="112" spans="1:8" x14ac:dyDescent="0.35">
      <c r="A112" s="1">
        <v>45635</v>
      </c>
      <c r="B112" t="s">
        <v>9</v>
      </c>
      <c r="C112">
        <v>5200</v>
      </c>
      <c r="D112">
        <v>410</v>
      </c>
      <c r="E112">
        <v>709008</v>
      </c>
      <c r="F112">
        <f>Engagement_Summary[[#This Row],[New_Followers]]-Engagement_Summary[[#This Row],[Unfollows]]</f>
        <v>4790</v>
      </c>
      <c r="G112">
        <v>12.913394489201821</v>
      </c>
      <c r="H112">
        <v>28994</v>
      </c>
    </row>
    <row r="113" spans="1:8" x14ac:dyDescent="0.35">
      <c r="A113" s="1">
        <v>45635</v>
      </c>
      <c r="B113" t="s">
        <v>10</v>
      </c>
      <c r="C113">
        <v>1016</v>
      </c>
      <c r="D113">
        <v>67</v>
      </c>
      <c r="E113">
        <v>709957</v>
      </c>
      <c r="F113">
        <f>Engagement_Summary[[#This Row],[New_Followers]]-Engagement_Summary[[#This Row],[Unfollows]]</f>
        <v>949</v>
      </c>
      <c r="G113">
        <v>20.774215903216671</v>
      </c>
      <c r="H113">
        <v>33284</v>
      </c>
    </row>
    <row r="114" spans="1:8" x14ac:dyDescent="0.35">
      <c r="A114" s="1">
        <v>45642</v>
      </c>
      <c r="B114" t="s">
        <v>7</v>
      </c>
      <c r="C114">
        <v>4191</v>
      </c>
      <c r="D114">
        <v>599</v>
      </c>
      <c r="E114">
        <v>713549</v>
      </c>
      <c r="F114">
        <f>Engagement_Summary[[#This Row],[New_Followers]]-Engagement_Summary[[#This Row],[Unfollows]]</f>
        <v>3592</v>
      </c>
      <c r="G114">
        <v>11.56416728213479</v>
      </c>
      <c r="H114">
        <v>27833</v>
      </c>
    </row>
    <row r="115" spans="1:8" x14ac:dyDescent="0.35">
      <c r="A115" s="1">
        <v>45642</v>
      </c>
      <c r="B115" t="s">
        <v>7</v>
      </c>
      <c r="C115">
        <v>1392</v>
      </c>
      <c r="D115">
        <v>182</v>
      </c>
      <c r="E115">
        <v>714759</v>
      </c>
      <c r="F115">
        <f>Engagement_Summary[[#This Row],[New_Followers]]-Engagement_Summary[[#This Row],[Unfollows]]</f>
        <v>1210</v>
      </c>
      <c r="G115">
        <v>5.9603306848881932</v>
      </c>
      <c r="H115">
        <v>35122</v>
      </c>
    </row>
    <row r="116" spans="1:8" x14ac:dyDescent="0.35">
      <c r="A116" s="1">
        <v>45642</v>
      </c>
      <c r="B116" t="s">
        <v>10</v>
      </c>
      <c r="C116">
        <v>9616</v>
      </c>
      <c r="D116">
        <v>1089</v>
      </c>
      <c r="E116">
        <v>723286</v>
      </c>
      <c r="F116">
        <f>Engagement_Summary[[#This Row],[New_Followers]]-Engagement_Summary[[#This Row],[Unfollows]]</f>
        <v>8527</v>
      </c>
      <c r="G116">
        <v>19.25863351426683</v>
      </c>
      <c r="H116">
        <v>15017</v>
      </c>
    </row>
    <row r="117" spans="1:8" x14ac:dyDescent="0.35">
      <c r="A117" s="1">
        <v>45642</v>
      </c>
      <c r="B117" t="s">
        <v>8</v>
      </c>
      <c r="C117">
        <v>7272</v>
      </c>
      <c r="D117">
        <v>997</v>
      </c>
      <c r="E117">
        <v>729561</v>
      </c>
      <c r="F117">
        <f>Engagement_Summary[[#This Row],[New_Followers]]-Engagement_Summary[[#This Row],[Unfollows]]</f>
        <v>6275</v>
      </c>
      <c r="G117">
        <v>13.428486445958599</v>
      </c>
      <c r="H117">
        <v>26370</v>
      </c>
    </row>
    <row r="118" spans="1:8" x14ac:dyDescent="0.35">
      <c r="A118" s="1">
        <v>45649</v>
      </c>
      <c r="B118" t="s">
        <v>10</v>
      </c>
      <c r="C118">
        <v>1571</v>
      </c>
      <c r="D118">
        <v>204</v>
      </c>
      <c r="E118">
        <v>730928</v>
      </c>
      <c r="F118">
        <f>Engagement_Summary[[#This Row],[New_Followers]]-Engagement_Summary[[#This Row],[Unfollows]]</f>
        <v>1367</v>
      </c>
      <c r="G118">
        <v>19.449384891535139</v>
      </c>
      <c r="H118">
        <v>39252</v>
      </c>
    </row>
    <row r="119" spans="1:8" x14ac:dyDescent="0.35">
      <c r="A119" s="1">
        <v>45649</v>
      </c>
      <c r="B119" t="s">
        <v>7</v>
      </c>
      <c r="C119">
        <v>4631</v>
      </c>
      <c r="D119">
        <v>317</v>
      </c>
      <c r="E119">
        <v>735242</v>
      </c>
      <c r="F119">
        <f>Engagement_Summary[[#This Row],[New_Followers]]-Engagement_Summary[[#This Row],[Unfollows]]</f>
        <v>4314</v>
      </c>
      <c r="G119">
        <v>1.381177897889402</v>
      </c>
      <c r="H119">
        <v>17999</v>
      </c>
    </row>
    <row r="120" spans="1:8" x14ac:dyDescent="0.35">
      <c r="A120" s="1">
        <v>45649</v>
      </c>
      <c r="B120" t="s">
        <v>10</v>
      </c>
      <c r="C120">
        <v>7172</v>
      </c>
      <c r="D120">
        <v>998</v>
      </c>
      <c r="E120">
        <v>741416</v>
      </c>
      <c r="F120">
        <f>Engagement_Summary[[#This Row],[New_Followers]]-Engagement_Summary[[#This Row],[Unfollows]]</f>
        <v>6174</v>
      </c>
      <c r="G120">
        <v>18.0667803230575</v>
      </c>
      <c r="H120">
        <v>32436</v>
      </c>
    </row>
    <row r="121" spans="1:8" x14ac:dyDescent="0.35">
      <c r="A121" s="1">
        <v>45649</v>
      </c>
      <c r="B121" t="s">
        <v>9</v>
      </c>
      <c r="C121">
        <v>8177</v>
      </c>
      <c r="D121">
        <v>849</v>
      </c>
      <c r="E121">
        <v>748744</v>
      </c>
      <c r="F121">
        <f>Engagement_Summary[[#This Row],[New_Followers]]-Engagement_Summary[[#This Row],[Unfollows]]</f>
        <v>7328</v>
      </c>
      <c r="G121">
        <v>10.34986590877523</v>
      </c>
      <c r="H121">
        <v>52963</v>
      </c>
    </row>
    <row r="122" spans="1:8" x14ac:dyDescent="0.35">
      <c r="A122" s="1">
        <v>45656</v>
      </c>
      <c r="B122" t="s">
        <v>10</v>
      </c>
      <c r="C122">
        <v>9433</v>
      </c>
      <c r="D122">
        <v>1233</v>
      </c>
      <c r="E122">
        <v>756944</v>
      </c>
      <c r="F122">
        <f>Engagement_Summary[[#This Row],[New_Followers]]-Engagement_Summary[[#This Row],[Unfollows]]</f>
        <v>8200</v>
      </c>
      <c r="G122">
        <v>11.391727789638329</v>
      </c>
      <c r="H122">
        <v>12096</v>
      </c>
    </row>
    <row r="123" spans="1:8" x14ac:dyDescent="0.35">
      <c r="A123" s="1">
        <v>45656</v>
      </c>
      <c r="B123" t="s">
        <v>7</v>
      </c>
      <c r="C123">
        <v>4897</v>
      </c>
      <c r="D123">
        <v>683</v>
      </c>
      <c r="E123">
        <v>761158</v>
      </c>
      <c r="F123">
        <f>Engagement_Summary[[#This Row],[New_Followers]]-Engagement_Summary[[#This Row],[Unfollows]]</f>
        <v>4214</v>
      </c>
      <c r="G123">
        <v>15.06231294947961</v>
      </c>
      <c r="H123">
        <v>58201</v>
      </c>
    </row>
    <row r="124" spans="1:8" x14ac:dyDescent="0.35">
      <c r="A124" s="1">
        <v>45656</v>
      </c>
      <c r="B124" t="s">
        <v>10</v>
      </c>
      <c r="C124">
        <v>9123</v>
      </c>
      <c r="D124">
        <v>746</v>
      </c>
      <c r="E124">
        <v>769535</v>
      </c>
      <c r="F124">
        <f>Engagement_Summary[[#This Row],[New_Followers]]-Engagement_Summary[[#This Row],[Unfollows]]</f>
        <v>8377</v>
      </c>
      <c r="G124">
        <v>6.3086149427901264</v>
      </c>
      <c r="H124">
        <v>35279</v>
      </c>
    </row>
    <row r="125" spans="1:8" x14ac:dyDescent="0.35">
      <c r="A125" s="1">
        <v>45656</v>
      </c>
      <c r="B125" t="s">
        <v>8</v>
      </c>
      <c r="C125">
        <v>3279</v>
      </c>
      <c r="D125">
        <v>200</v>
      </c>
      <c r="E125">
        <v>772614</v>
      </c>
      <c r="F125">
        <f>Engagement_Summary[[#This Row],[New_Followers]]-Engagement_Summary[[#This Row],[Unfollows]]</f>
        <v>3079</v>
      </c>
      <c r="G125">
        <v>5.0212654702089274</v>
      </c>
      <c r="H125">
        <v>53363</v>
      </c>
    </row>
    <row r="126" spans="1:8" x14ac:dyDescent="0.35">
      <c r="A126" s="1">
        <v>45663</v>
      </c>
      <c r="B126" t="s">
        <v>10</v>
      </c>
      <c r="C126">
        <v>9980</v>
      </c>
      <c r="D126">
        <v>726</v>
      </c>
      <c r="E126">
        <v>781868</v>
      </c>
      <c r="F126">
        <f>Engagement_Summary[[#This Row],[New_Followers]]-Engagement_Summary[[#This Row],[Unfollows]]</f>
        <v>9254</v>
      </c>
      <c r="G126">
        <v>4.0220344099003924</v>
      </c>
      <c r="H126">
        <v>58709</v>
      </c>
    </row>
    <row r="127" spans="1:8" x14ac:dyDescent="0.35">
      <c r="A127" s="1">
        <v>45663</v>
      </c>
      <c r="B127" t="s">
        <v>8</v>
      </c>
      <c r="C127">
        <v>8451</v>
      </c>
      <c r="D127">
        <v>783</v>
      </c>
      <c r="E127">
        <v>789536</v>
      </c>
      <c r="F127">
        <f>Engagement_Summary[[#This Row],[New_Followers]]-Engagement_Summary[[#This Row],[Unfollows]]</f>
        <v>7668</v>
      </c>
      <c r="G127">
        <v>12.407287318121019</v>
      </c>
      <c r="H127">
        <v>36201</v>
      </c>
    </row>
    <row r="128" spans="1:8" x14ac:dyDescent="0.35">
      <c r="A128" s="1">
        <v>45663</v>
      </c>
      <c r="B128" t="s">
        <v>9</v>
      </c>
      <c r="C128">
        <v>9906</v>
      </c>
      <c r="D128">
        <v>1305</v>
      </c>
      <c r="E128">
        <v>798137</v>
      </c>
      <c r="F128">
        <f>Engagement_Summary[[#This Row],[New_Followers]]-Engagement_Summary[[#This Row],[Unfollows]]</f>
        <v>8601</v>
      </c>
      <c r="G128">
        <v>9.1811305577864442</v>
      </c>
      <c r="H128">
        <v>29715</v>
      </c>
    </row>
    <row r="129" spans="1:8" x14ac:dyDescent="0.35">
      <c r="A129" s="1">
        <v>45663</v>
      </c>
      <c r="B129" t="s">
        <v>8</v>
      </c>
      <c r="C129">
        <v>1775</v>
      </c>
      <c r="D129">
        <v>241</v>
      </c>
      <c r="E129">
        <v>799671</v>
      </c>
      <c r="F129">
        <f>Engagement_Summary[[#This Row],[New_Followers]]-Engagement_Summary[[#This Row],[Unfollows]]</f>
        <v>1534</v>
      </c>
      <c r="G129">
        <v>8.1379717408784362</v>
      </c>
      <c r="H129">
        <v>39309</v>
      </c>
    </row>
    <row r="130" spans="1:8" x14ac:dyDescent="0.35">
      <c r="A130" s="1">
        <v>45670</v>
      </c>
      <c r="B130" t="s">
        <v>10</v>
      </c>
      <c r="C130">
        <v>7869</v>
      </c>
      <c r="D130">
        <v>398</v>
      </c>
      <c r="E130">
        <v>807142</v>
      </c>
      <c r="F130">
        <f>Engagement_Summary[[#This Row],[New_Followers]]-Engagement_Summary[[#This Row],[Unfollows]]</f>
        <v>7471</v>
      </c>
      <c r="G130">
        <v>15.211945357818079</v>
      </c>
      <c r="H130">
        <v>25078</v>
      </c>
    </row>
    <row r="131" spans="1:8" x14ac:dyDescent="0.35">
      <c r="A131" s="1">
        <v>45670</v>
      </c>
      <c r="B131" t="s">
        <v>7</v>
      </c>
      <c r="C131">
        <v>3247</v>
      </c>
      <c r="D131">
        <v>328</v>
      </c>
      <c r="E131">
        <v>810061</v>
      </c>
      <c r="F131">
        <f>Engagement_Summary[[#This Row],[New_Followers]]-Engagement_Summary[[#This Row],[Unfollows]]</f>
        <v>2919</v>
      </c>
      <c r="G131">
        <v>13.941172331466399</v>
      </c>
      <c r="H131">
        <v>15105</v>
      </c>
    </row>
    <row r="132" spans="1:8" x14ac:dyDescent="0.35">
      <c r="A132" s="1">
        <v>45670</v>
      </c>
      <c r="B132" t="s">
        <v>8</v>
      </c>
      <c r="C132">
        <v>8088</v>
      </c>
      <c r="D132">
        <v>742</v>
      </c>
      <c r="E132">
        <v>817407</v>
      </c>
      <c r="F132">
        <f>Engagement_Summary[[#This Row],[New_Followers]]-Engagement_Summary[[#This Row],[Unfollows]]</f>
        <v>7346</v>
      </c>
      <c r="G132">
        <v>14.664542877660701</v>
      </c>
      <c r="H132">
        <v>39312</v>
      </c>
    </row>
    <row r="133" spans="1:8" x14ac:dyDescent="0.35">
      <c r="A133" s="1">
        <v>45670</v>
      </c>
      <c r="B133" t="s">
        <v>9</v>
      </c>
      <c r="C133">
        <v>1078</v>
      </c>
      <c r="D133">
        <v>77</v>
      </c>
      <c r="E133">
        <v>818408</v>
      </c>
      <c r="F133">
        <f>Engagement_Summary[[#This Row],[New_Followers]]-Engagement_Summary[[#This Row],[Unfollows]]</f>
        <v>1001</v>
      </c>
      <c r="G133">
        <v>18.236747441373989</v>
      </c>
      <c r="H133">
        <v>12839</v>
      </c>
    </row>
    <row r="134" spans="1:8" x14ac:dyDescent="0.35">
      <c r="A134" s="1">
        <v>45677</v>
      </c>
      <c r="B134" t="s">
        <v>8</v>
      </c>
      <c r="C134">
        <v>9080</v>
      </c>
      <c r="D134">
        <v>562</v>
      </c>
      <c r="E134">
        <v>826926</v>
      </c>
      <c r="F134">
        <f>Engagement_Summary[[#This Row],[New_Followers]]-Engagement_Summary[[#This Row],[Unfollows]]</f>
        <v>8518</v>
      </c>
      <c r="G134">
        <v>7.1083748727213809</v>
      </c>
      <c r="H134">
        <v>13384</v>
      </c>
    </row>
    <row r="135" spans="1:8" x14ac:dyDescent="0.35">
      <c r="A135" s="1">
        <v>45677</v>
      </c>
      <c r="B135" t="s">
        <v>8</v>
      </c>
      <c r="C135">
        <v>8099</v>
      </c>
      <c r="D135">
        <v>678</v>
      </c>
      <c r="E135">
        <v>834347</v>
      </c>
      <c r="F135">
        <f>Engagement_Summary[[#This Row],[New_Followers]]-Engagement_Summary[[#This Row],[Unfollows]]</f>
        <v>7421</v>
      </c>
      <c r="G135">
        <v>7.6464588474579518</v>
      </c>
      <c r="H135">
        <v>53619</v>
      </c>
    </row>
    <row r="136" spans="1:8" x14ac:dyDescent="0.35">
      <c r="A136" s="1">
        <v>45677</v>
      </c>
      <c r="B136" t="s">
        <v>8</v>
      </c>
      <c r="C136">
        <v>4926</v>
      </c>
      <c r="D136">
        <v>710</v>
      </c>
      <c r="E136">
        <v>838563</v>
      </c>
      <c r="F136">
        <f>Engagement_Summary[[#This Row],[New_Followers]]-Engagement_Summary[[#This Row],[Unfollows]]</f>
        <v>4216</v>
      </c>
      <c r="G136">
        <v>12.96217457722318</v>
      </c>
      <c r="H136">
        <v>52821</v>
      </c>
    </row>
    <row r="137" spans="1:8" x14ac:dyDescent="0.35">
      <c r="A137" s="1">
        <v>45677</v>
      </c>
      <c r="B137" t="s">
        <v>9</v>
      </c>
      <c r="C137">
        <v>8340</v>
      </c>
      <c r="D137">
        <v>686</v>
      </c>
      <c r="E137">
        <v>846217</v>
      </c>
      <c r="F137">
        <f>Engagement_Summary[[#This Row],[New_Followers]]-Engagement_Summary[[#This Row],[Unfollows]]</f>
        <v>7654</v>
      </c>
      <c r="G137">
        <v>7.201344336027284</v>
      </c>
      <c r="H137">
        <v>23493</v>
      </c>
    </row>
    <row r="138" spans="1:8" x14ac:dyDescent="0.35">
      <c r="A138" s="1">
        <v>45684</v>
      </c>
      <c r="B138" t="s">
        <v>10</v>
      </c>
      <c r="C138">
        <v>8083</v>
      </c>
      <c r="D138">
        <v>823</v>
      </c>
      <c r="E138">
        <v>853477</v>
      </c>
      <c r="F138">
        <f>Engagement_Summary[[#This Row],[New_Followers]]-Engagement_Summary[[#This Row],[Unfollows]]</f>
        <v>7260</v>
      </c>
      <c r="G138">
        <v>4.6300017457998282</v>
      </c>
      <c r="H138">
        <v>27069</v>
      </c>
    </row>
    <row r="139" spans="1:8" x14ac:dyDescent="0.35">
      <c r="A139" s="1">
        <v>45684</v>
      </c>
      <c r="B139" t="s">
        <v>8</v>
      </c>
      <c r="C139">
        <v>7230</v>
      </c>
      <c r="D139">
        <v>869</v>
      </c>
      <c r="E139">
        <v>859838</v>
      </c>
      <c r="F139">
        <f>Engagement_Summary[[#This Row],[New_Followers]]-Engagement_Summary[[#This Row],[Unfollows]]</f>
        <v>6361</v>
      </c>
      <c r="G139">
        <v>7.0117859410726204</v>
      </c>
      <c r="H139">
        <v>56907</v>
      </c>
    </row>
    <row r="140" spans="1:8" x14ac:dyDescent="0.35">
      <c r="A140" s="1">
        <v>45684</v>
      </c>
      <c r="B140" t="s">
        <v>8</v>
      </c>
      <c r="C140">
        <v>5940</v>
      </c>
      <c r="D140">
        <v>512</v>
      </c>
      <c r="E140">
        <v>865266</v>
      </c>
      <c r="F140">
        <f>Engagement_Summary[[#This Row],[New_Followers]]-Engagement_Summary[[#This Row],[Unfollows]]</f>
        <v>5428</v>
      </c>
      <c r="G140">
        <v>15.7972230504839</v>
      </c>
      <c r="H140">
        <v>17531</v>
      </c>
    </row>
    <row r="141" spans="1:8" x14ac:dyDescent="0.35">
      <c r="A141" s="1">
        <v>45684</v>
      </c>
      <c r="B141" t="s">
        <v>7</v>
      </c>
      <c r="C141">
        <v>4271</v>
      </c>
      <c r="D141">
        <v>628</v>
      </c>
      <c r="E141">
        <v>868909</v>
      </c>
      <c r="F141">
        <f>Engagement_Summary[[#This Row],[New_Followers]]-Engagement_Summary[[#This Row],[Unfollows]]</f>
        <v>3643</v>
      </c>
      <c r="G141">
        <v>11.124410036033691</v>
      </c>
      <c r="H141">
        <v>47051</v>
      </c>
    </row>
    <row r="142" spans="1:8" x14ac:dyDescent="0.35">
      <c r="A142" s="1">
        <v>45691</v>
      </c>
      <c r="B142" t="s">
        <v>9</v>
      </c>
      <c r="C142">
        <v>4456</v>
      </c>
      <c r="D142">
        <v>651</v>
      </c>
      <c r="E142">
        <v>872714</v>
      </c>
      <c r="F142">
        <f>Engagement_Summary[[#This Row],[New_Followers]]-Engagement_Summary[[#This Row],[Unfollows]]</f>
        <v>3805</v>
      </c>
      <c r="G142">
        <v>9.5052903929580594</v>
      </c>
      <c r="H142">
        <v>17736</v>
      </c>
    </row>
    <row r="143" spans="1:8" x14ac:dyDescent="0.35">
      <c r="A143" s="1">
        <v>45691</v>
      </c>
      <c r="B143" t="s">
        <v>8</v>
      </c>
      <c r="C143">
        <v>8788</v>
      </c>
      <c r="D143">
        <v>660</v>
      </c>
      <c r="E143">
        <v>880842</v>
      </c>
      <c r="F143">
        <f>Engagement_Summary[[#This Row],[New_Followers]]-Engagement_Summary[[#This Row],[Unfollows]]</f>
        <v>8128</v>
      </c>
      <c r="G143">
        <v>3.7175793161543158</v>
      </c>
      <c r="H143">
        <v>17710</v>
      </c>
    </row>
    <row r="144" spans="1:8" x14ac:dyDescent="0.35">
      <c r="A144" s="1">
        <v>45691</v>
      </c>
      <c r="B144" t="s">
        <v>9</v>
      </c>
      <c r="C144">
        <v>9599</v>
      </c>
      <c r="D144">
        <v>957</v>
      </c>
      <c r="E144">
        <v>889484</v>
      </c>
      <c r="F144">
        <f>Engagement_Summary[[#This Row],[New_Followers]]-Engagement_Summary[[#This Row],[Unfollows]]</f>
        <v>8642</v>
      </c>
      <c r="G144">
        <v>8.768004820772493</v>
      </c>
      <c r="H144">
        <v>11619</v>
      </c>
    </row>
    <row r="145" spans="1:8" x14ac:dyDescent="0.35">
      <c r="A145" s="1">
        <v>45691</v>
      </c>
      <c r="B145" t="s">
        <v>8</v>
      </c>
      <c r="C145">
        <v>8650</v>
      </c>
      <c r="D145">
        <v>692</v>
      </c>
      <c r="E145">
        <v>897442</v>
      </c>
      <c r="F145">
        <f>Engagement_Summary[[#This Row],[New_Followers]]-Engagement_Summary[[#This Row],[Unfollows]]</f>
        <v>7958</v>
      </c>
      <c r="G145">
        <v>7.6673478620345374</v>
      </c>
      <c r="H145">
        <v>23975</v>
      </c>
    </row>
    <row r="146" spans="1:8" x14ac:dyDescent="0.35">
      <c r="A146" s="1">
        <v>45698</v>
      </c>
      <c r="B146" t="s">
        <v>10</v>
      </c>
      <c r="C146">
        <v>3711</v>
      </c>
      <c r="D146">
        <v>291</v>
      </c>
      <c r="E146">
        <v>900862</v>
      </c>
      <c r="F146">
        <f>Engagement_Summary[[#This Row],[New_Followers]]-Engagement_Summary[[#This Row],[Unfollows]]</f>
        <v>3420</v>
      </c>
      <c r="G146">
        <v>14.24879726306582</v>
      </c>
      <c r="H146">
        <v>55603</v>
      </c>
    </row>
    <row r="147" spans="1:8" x14ac:dyDescent="0.35">
      <c r="A147" s="1">
        <v>45698</v>
      </c>
      <c r="B147" t="s">
        <v>10</v>
      </c>
      <c r="C147">
        <v>2668</v>
      </c>
      <c r="D147">
        <v>143</v>
      </c>
      <c r="E147">
        <v>903387</v>
      </c>
      <c r="F147">
        <f>Engagement_Summary[[#This Row],[New_Followers]]-Engagement_Summary[[#This Row],[Unfollows]]</f>
        <v>2525</v>
      </c>
      <c r="G147">
        <v>15.903372530266649</v>
      </c>
      <c r="H147">
        <v>33252</v>
      </c>
    </row>
    <row r="148" spans="1:8" x14ac:dyDescent="0.35">
      <c r="A148" s="1">
        <v>45698</v>
      </c>
      <c r="B148" t="s">
        <v>8</v>
      </c>
      <c r="C148">
        <v>1147</v>
      </c>
      <c r="D148">
        <v>127</v>
      </c>
      <c r="E148">
        <v>904407</v>
      </c>
      <c r="F148">
        <f>Engagement_Summary[[#This Row],[New_Followers]]-Engagement_Summary[[#This Row],[Unfollows]]</f>
        <v>1020</v>
      </c>
      <c r="G148">
        <v>1.3997016829812241</v>
      </c>
      <c r="H148">
        <v>25261</v>
      </c>
    </row>
    <row r="149" spans="1:8" x14ac:dyDescent="0.35">
      <c r="A149" s="1">
        <v>45698</v>
      </c>
      <c r="B149" t="s">
        <v>10</v>
      </c>
      <c r="C149">
        <v>7420</v>
      </c>
      <c r="D149">
        <v>743</v>
      </c>
      <c r="E149">
        <v>911084</v>
      </c>
      <c r="F149">
        <f>Engagement_Summary[[#This Row],[New_Followers]]-Engagement_Summary[[#This Row],[Unfollows]]</f>
        <v>6677</v>
      </c>
      <c r="G149">
        <v>10.593534734448189</v>
      </c>
      <c r="H149">
        <v>11431</v>
      </c>
    </row>
    <row r="150" spans="1:8" x14ac:dyDescent="0.35">
      <c r="A150" s="1">
        <v>45705</v>
      </c>
      <c r="B150" t="s">
        <v>8</v>
      </c>
      <c r="C150">
        <v>1365</v>
      </c>
      <c r="D150">
        <v>75</v>
      </c>
      <c r="E150">
        <v>912374</v>
      </c>
      <c r="F150">
        <f>Engagement_Summary[[#This Row],[New_Followers]]-Engagement_Summary[[#This Row],[Unfollows]]</f>
        <v>1290</v>
      </c>
      <c r="G150">
        <v>9.2688963078737441</v>
      </c>
      <c r="H150">
        <v>19067</v>
      </c>
    </row>
    <row r="151" spans="1:8" x14ac:dyDescent="0.35">
      <c r="A151" s="1">
        <v>45705</v>
      </c>
      <c r="B151" t="s">
        <v>10</v>
      </c>
      <c r="C151">
        <v>5531</v>
      </c>
      <c r="D151">
        <v>430</v>
      </c>
      <c r="E151">
        <v>917475</v>
      </c>
      <c r="F151">
        <f>Engagement_Summary[[#This Row],[New_Followers]]-Engagement_Summary[[#This Row],[Unfollows]]</f>
        <v>5101</v>
      </c>
      <c r="G151">
        <v>2.7289026948963189</v>
      </c>
      <c r="H151">
        <v>47481</v>
      </c>
    </row>
    <row r="152" spans="1:8" x14ac:dyDescent="0.35">
      <c r="A152" s="1">
        <v>45705</v>
      </c>
      <c r="B152" t="s">
        <v>7</v>
      </c>
      <c r="C152">
        <v>6330</v>
      </c>
      <c r="D152">
        <v>891</v>
      </c>
      <c r="E152">
        <v>922914</v>
      </c>
      <c r="F152">
        <f>Engagement_Summary[[#This Row],[New_Followers]]-Engagement_Summary[[#This Row],[Unfollows]]</f>
        <v>5439</v>
      </c>
      <c r="G152">
        <v>14.789893749580139</v>
      </c>
      <c r="H152">
        <v>37037</v>
      </c>
    </row>
    <row r="153" spans="1:8" x14ac:dyDescent="0.35">
      <c r="A153" s="1">
        <v>45705</v>
      </c>
      <c r="B153" t="s">
        <v>7</v>
      </c>
      <c r="C153">
        <v>6510</v>
      </c>
      <c r="D153">
        <v>481</v>
      </c>
      <c r="E153">
        <v>928943</v>
      </c>
      <c r="F153">
        <f>Engagement_Summary[[#This Row],[New_Followers]]-Engagement_Summary[[#This Row],[Unfollows]]</f>
        <v>6029</v>
      </c>
      <c r="G153">
        <v>2.3800168578696428</v>
      </c>
      <c r="H153">
        <v>19557</v>
      </c>
    </row>
    <row r="154" spans="1:8" x14ac:dyDescent="0.35">
      <c r="A154" s="1">
        <v>45712</v>
      </c>
      <c r="B154" t="s">
        <v>7</v>
      </c>
      <c r="C154">
        <v>9754</v>
      </c>
      <c r="D154">
        <v>629</v>
      </c>
      <c r="E154">
        <v>938068</v>
      </c>
      <c r="F154">
        <f>Engagement_Summary[[#This Row],[New_Followers]]-Engagement_Summary[[#This Row],[Unfollows]]</f>
        <v>9125</v>
      </c>
      <c r="G154">
        <v>3.4123325814333292</v>
      </c>
      <c r="H154">
        <v>19435</v>
      </c>
    </row>
    <row r="155" spans="1:8" x14ac:dyDescent="0.35">
      <c r="A155" s="1">
        <v>45712</v>
      </c>
      <c r="B155" t="s">
        <v>9</v>
      </c>
      <c r="C155">
        <v>9964</v>
      </c>
      <c r="D155">
        <v>985</v>
      </c>
      <c r="E155">
        <v>947047</v>
      </c>
      <c r="F155">
        <f>Engagement_Summary[[#This Row],[New_Followers]]-Engagement_Summary[[#This Row],[Unfollows]]</f>
        <v>8979</v>
      </c>
      <c r="G155">
        <v>1.9837452629066989</v>
      </c>
      <c r="H155">
        <v>47766</v>
      </c>
    </row>
    <row r="156" spans="1:8" x14ac:dyDescent="0.35">
      <c r="A156" s="1">
        <v>45712</v>
      </c>
      <c r="B156" t="s">
        <v>9</v>
      </c>
      <c r="C156">
        <v>7493</v>
      </c>
      <c r="D156">
        <v>1113</v>
      </c>
      <c r="E156">
        <v>953427</v>
      </c>
      <c r="F156">
        <f>Engagement_Summary[[#This Row],[New_Followers]]-Engagement_Summary[[#This Row],[Unfollows]]</f>
        <v>6380</v>
      </c>
      <c r="G156">
        <v>15.684892498324469</v>
      </c>
      <c r="H156">
        <v>10162</v>
      </c>
    </row>
    <row r="157" spans="1:8" x14ac:dyDescent="0.35">
      <c r="A157" s="1">
        <v>45712</v>
      </c>
      <c r="B157" t="s">
        <v>7</v>
      </c>
      <c r="C157">
        <v>6439</v>
      </c>
      <c r="D157">
        <v>477</v>
      </c>
      <c r="E157">
        <v>959389</v>
      </c>
      <c r="F157">
        <f>Engagement_Summary[[#This Row],[New_Followers]]-Engagement_Summary[[#This Row],[Unfollows]]</f>
        <v>5962</v>
      </c>
      <c r="G157">
        <v>7.4744446725989153</v>
      </c>
      <c r="H157">
        <v>44742</v>
      </c>
    </row>
    <row r="158" spans="1:8" x14ac:dyDescent="0.35">
      <c r="A158" s="1">
        <v>45719</v>
      </c>
      <c r="B158" t="s">
        <v>9</v>
      </c>
      <c r="C158">
        <v>7511</v>
      </c>
      <c r="D158">
        <v>880</v>
      </c>
      <c r="E158">
        <v>966020</v>
      </c>
      <c r="F158">
        <f>Engagement_Summary[[#This Row],[New_Followers]]-Engagement_Summary[[#This Row],[Unfollows]]</f>
        <v>6631</v>
      </c>
      <c r="G158">
        <v>4.6083932009689246</v>
      </c>
      <c r="H158">
        <v>29675</v>
      </c>
    </row>
    <row r="159" spans="1:8" x14ac:dyDescent="0.35">
      <c r="A159" s="1">
        <v>45719</v>
      </c>
      <c r="B159" t="s">
        <v>10</v>
      </c>
      <c r="C159">
        <v>8504</v>
      </c>
      <c r="D159">
        <v>1072</v>
      </c>
      <c r="E159">
        <v>973452</v>
      </c>
      <c r="F159">
        <f>Engagement_Summary[[#This Row],[New_Followers]]-Engagement_Summary[[#This Row],[Unfollows]]</f>
        <v>7432</v>
      </c>
      <c r="G159">
        <v>6.5651927367759271</v>
      </c>
      <c r="H159">
        <v>18461</v>
      </c>
    </row>
    <row r="160" spans="1:8" x14ac:dyDescent="0.35">
      <c r="A160" s="1">
        <v>45719</v>
      </c>
      <c r="B160" t="s">
        <v>8</v>
      </c>
      <c r="C160">
        <v>2246</v>
      </c>
      <c r="D160">
        <v>165</v>
      </c>
      <c r="E160">
        <v>975533</v>
      </c>
      <c r="F160">
        <f>Engagement_Summary[[#This Row],[New_Followers]]-Engagement_Summary[[#This Row],[Unfollows]]</f>
        <v>2081</v>
      </c>
      <c r="G160">
        <v>2.9062061457685191</v>
      </c>
      <c r="H160">
        <v>27015</v>
      </c>
    </row>
    <row r="161" spans="1:8" x14ac:dyDescent="0.35">
      <c r="A161" s="1">
        <v>45719</v>
      </c>
      <c r="B161" t="s">
        <v>8</v>
      </c>
      <c r="C161">
        <v>4839</v>
      </c>
      <c r="D161">
        <v>594</v>
      </c>
      <c r="E161">
        <v>979778</v>
      </c>
      <c r="F161">
        <f>Engagement_Summary[[#This Row],[New_Followers]]-Engagement_Summary[[#This Row],[Unfollows]]</f>
        <v>4245</v>
      </c>
      <c r="G161">
        <v>2.5803804535313102</v>
      </c>
      <c r="H161">
        <v>42591</v>
      </c>
    </row>
    <row r="162" spans="1:8" x14ac:dyDescent="0.35">
      <c r="A162" s="1">
        <v>45726</v>
      </c>
      <c r="B162" t="s">
        <v>8</v>
      </c>
      <c r="C162">
        <v>9551</v>
      </c>
      <c r="D162">
        <v>828</v>
      </c>
      <c r="E162">
        <v>988501</v>
      </c>
      <c r="F162">
        <f>Engagement_Summary[[#This Row],[New_Followers]]-Engagement_Summary[[#This Row],[Unfollows]]</f>
        <v>8723</v>
      </c>
      <c r="G162">
        <v>1.525036393488727</v>
      </c>
      <c r="H162">
        <v>38047</v>
      </c>
    </row>
    <row r="163" spans="1:8" x14ac:dyDescent="0.35">
      <c r="A163" s="1">
        <v>45726</v>
      </c>
      <c r="B163" t="s">
        <v>7</v>
      </c>
      <c r="C163">
        <v>3376</v>
      </c>
      <c r="D163">
        <v>382</v>
      </c>
      <c r="E163">
        <v>991495</v>
      </c>
      <c r="F163">
        <f>Engagement_Summary[[#This Row],[New_Followers]]-Engagement_Summary[[#This Row],[Unfollows]]</f>
        <v>2994</v>
      </c>
      <c r="G163">
        <v>3.8694093263203548</v>
      </c>
      <c r="H163">
        <v>44782</v>
      </c>
    </row>
    <row r="164" spans="1:8" x14ac:dyDescent="0.35">
      <c r="A164" s="1">
        <v>45726</v>
      </c>
      <c r="B164" t="s">
        <v>9</v>
      </c>
      <c r="C164">
        <v>4009</v>
      </c>
      <c r="D164">
        <v>454</v>
      </c>
      <c r="E164">
        <v>995050</v>
      </c>
      <c r="F164">
        <f>Engagement_Summary[[#This Row],[New_Followers]]-Engagement_Summary[[#This Row],[Unfollows]]</f>
        <v>3555</v>
      </c>
      <c r="G164">
        <v>2.1106477061454201</v>
      </c>
      <c r="H164">
        <v>19833</v>
      </c>
    </row>
    <row r="165" spans="1:8" x14ac:dyDescent="0.35">
      <c r="A165" s="1">
        <v>45726</v>
      </c>
      <c r="B165" t="s">
        <v>10</v>
      </c>
      <c r="C165">
        <v>2827</v>
      </c>
      <c r="D165">
        <v>292</v>
      </c>
      <c r="E165">
        <v>997585</v>
      </c>
      <c r="F165">
        <f>Engagement_Summary[[#This Row],[New_Followers]]-Engagement_Summary[[#This Row],[Unfollows]]</f>
        <v>2535</v>
      </c>
      <c r="G165">
        <v>2.4004972007397871</v>
      </c>
      <c r="H165">
        <v>17896</v>
      </c>
    </row>
    <row r="166" spans="1:8" x14ac:dyDescent="0.35">
      <c r="A166" s="1">
        <v>45733</v>
      </c>
      <c r="B166" t="s">
        <v>10</v>
      </c>
      <c r="C166">
        <v>7979</v>
      </c>
      <c r="D166">
        <v>470</v>
      </c>
      <c r="E166">
        <v>1005094</v>
      </c>
      <c r="F166">
        <f>Engagement_Summary[[#This Row],[New_Followers]]-Engagement_Summary[[#This Row],[Unfollows]]</f>
        <v>7509</v>
      </c>
      <c r="G166">
        <v>10.43086517280971</v>
      </c>
      <c r="H166">
        <v>42972</v>
      </c>
    </row>
    <row r="167" spans="1:8" x14ac:dyDescent="0.35">
      <c r="A167" s="1">
        <v>45733</v>
      </c>
      <c r="B167" t="s">
        <v>7</v>
      </c>
      <c r="C167">
        <v>9569</v>
      </c>
      <c r="D167">
        <v>1277</v>
      </c>
      <c r="E167">
        <v>1013386</v>
      </c>
      <c r="F167">
        <f>Engagement_Summary[[#This Row],[New_Followers]]-Engagement_Summary[[#This Row],[Unfollows]]</f>
        <v>8292</v>
      </c>
      <c r="G167">
        <v>12.45517502708741</v>
      </c>
      <c r="H167">
        <v>59733</v>
      </c>
    </row>
    <row r="168" spans="1:8" x14ac:dyDescent="0.35">
      <c r="A168" s="1">
        <v>45733</v>
      </c>
      <c r="B168" t="s">
        <v>10</v>
      </c>
      <c r="C168">
        <v>5285</v>
      </c>
      <c r="D168">
        <v>433</v>
      </c>
      <c r="E168">
        <v>1018238</v>
      </c>
      <c r="F168">
        <f>Engagement_Summary[[#This Row],[New_Followers]]-Engagement_Summary[[#This Row],[Unfollows]]</f>
        <v>4852</v>
      </c>
      <c r="G168">
        <v>8.7022876773406619</v>
      </c>
      <c r="H168">
        <v>51800</v>
      </c>
    </row>
    <row r="169" spans="1:8" x14ac:dyDescent="0.35">
      <c r="A169" s="1">
        <v>45733</v>
      </c>
      <c r="B169" t="s">
        <v>10</v>
      </c>
      <c r="C169">
        <v>7910</v>
      </c>
      <c r="D169">
        <v>543</v>
      </c>
      <c r="E169">
        <v>1025605</v>
      </c>
      <c r="F169">
        <f>Engagement_Summary[[#This Row],[New_Followers]]-Engagement_Summary[[#This Row],[Unfollows]]</f>
        <v>7367</v>
      </c>
      <c r="G169">
        <v>6.0590578244060822</v>
      </c>
      <c r="H169">
        <v>40508</v>
      </c>
    </row>
    <row r="170" spans="1:8" x14ac:dyDescent="0.35">
      <c r="A170" s="1">
        <v>45740</v>
      </c>
      <c r="B170" t="s">
        <v>10</v>
      </c>
      <c r="C170">
        <v>9561</v>
      </c>
      <c r="D170">
        <v>517</v>
      </c>
      <c r="E170">
        <v>1034649</v>
      </c>
      <c r="F170">
        <f>Engagement_Summary[[#This Row],[New_Followers]]-Engagement_Summary[[#This Row],[Unfollows]]</f>
        <v>9044</v>
      </c>
      <c r="G170">
        <v>6.4086467971263694</v>
      </c>
      <c r="H170">
        <v>15347</v>
      </c>
    </row>
    <row r="171" spans="1:8" x14ac:dyDescent="0.35">
      <c r="A171" s="1">
        <v>45740</v>
      </c>
      <c r="B171" t="s">
        <v>10</v>
      </c>
      <c r="C171">
        <v>3196</v>
      </c>
      <c r="D171">
        <v>348</v>
      </c>
      <c r="E171">
        <v>1037497</v>
      </c>
      <c r="F171">
        <f>Engagement_Summary[[#This Row],[New_Followers]]-Engagement_Summary[[#This Row],[Unfollows]]</f>
        <v>2848</v>
      </c>
      <c r="G171">
        <v>14.03040201562029</v>
      </c>
      <c r="H171">
        <v>40314</v>
      </c>
    </row>
    <row r="172" spans="1:8" x14ac:dyDescent="0.35">
      <c r="A172" s="1">
        <v>45740</v>
      </c>
      <c r="B172" t="s">
        <v>9</v>
      </c>
      <c r="C172">
        <v>4747</v>
      </c>
      <c r="D172">
        <v>558</v>
      </c>
      <c r="E172">
        <v>1041686</v>
      </c>
      <c r="F172">
        <f>Engagement_Summary[[#This Row],[New_Followers]]-Engagement_Summary[[#This Row],[Unfollows]]</f>
        <v>4189</v>
      </c>
      <c r="G172">
        <v>5.7680529449373434</v>
      </c>
      <c r="H172">
        <v>12643</v>
      </c>
    </row>
    <row r="173" spans="1:8" x14ac:dyDescent="0.35">
      <c r="A173" s="1">
        <v>45740</v>
      </c>
      <c r="B173" t="s">
        <v>10</v>
      </c>
      <c r="C173">
        <v>9843</v>
      </c>
      <c r="D173">
        <v>508</v>
      </c>
      <c r="E173">
        <v>1051021</v>
      </c>
      <c r="F173">
        <f>Engagement_Summary[[#This Row],[New_Followers]]-Engagement_Summary[[#This Row],[Unfollows]]</f>
        <v>9335</v>
      </c>
      <c r="G173">
        <v>4.2080986012648651</v>
      </c>
      <c r="H173">
        <v>50785</v>
      </c>
    </row>
    <row r="174" spans="1:8" x14ac:dyDescent="0.35">
      <c r="A174" s="1">
        <v>45747</v>
      </c>
      <c r="B174" t="s">
        <v>8</v>
      </c>
      <c r="C174">
        <v>6978</v>
      </c>
      <c r="D174">
        <v>706</v>
      </c>
      <c r="E174">
        <v>1057293</v>
      </c>
      <c r="F174">
        <f>Engagement_Summary[[#This Row],[New_Followers]]-Engagement_Summary[[#This Row],[Unfollows]]</f>
        <v>6272</v>
      </c>
      <c r="G174">
        <v>5.057443868445171</v>
      </c>
      <c r="H174">
        <v>28681</v>
      </c>
    </row>
    <row r="175" spans="1:8" x14ac:dyDescent="0.35">
      <c r="A175" s="1">
        <v>45747</v>
      </c>
      <c r="B175" t="s">
        <v>7</v>
      </c>
      <c r="C175">
        <v>6607</v>
      </c>
      <c r="D175">
        <v>479</v>
      </c>
      <c r="E175">
        <v>1063421</v>
      </c>
      <c r="F175">
        <f>Engagement_Summary[[#This Row],[New_Followers]]-Engagement_Summary[[#This Row],[Unfollows]]</f>
        <v>6128</v>
      </c>
      <c r="G175">
        <v>5.5892257158735816</v>
      </c>
      <c r="H175">
        <v>48328</v>
      </c>
    </row>
    <row r="176" spans="1:8" x14ac:dyDescent="0.35">
      <c r="A176" s="1">
        <v>45747</v>
      </c>
      <c r="B176" t="s">
        <v>9</v>
      </c>
      <c r="C176">
        <v>1769</v>
      </c>
      <c r="D176">
        <v>202</v>
      </c>
      <c r="E176">
        <v>1064988</v>
      </c>
      <c r="F176">
        <f>Engagement_Summary[[#This Row],[New_Followers]]-Engagement_Summary[[#This Row],[Unfollows]]</f>
        <v>1567</v>
      </c>
      <c r="G176">
        <v>6.5457075572682513</v>
      </c>
      <c r="H176">
        <v>25892</v>
      </c>
    </row>
    <row r="177" spans="1:8" x14ac:dyDescent="0.35">
      <c r="A177" s="1">
        <v>45747</v>
      </c>
      <c r="B177" t="s">
        <v>10</v>
      </c>
      <c r="C177">
        <v>1780</v>
      </c>
      <c r="D177">
        <v>120</v>
      </c>
      <c r="E177">
        <v>1066648</v>
      </c>
      <c r="F177">
        <f>Engagement_Summary[[#This Row],[New_Followers]]-Engagement_Summary[[#This Row],[Unfollows]]</f>
        <v>1660</v>
      </c>
      <c r="G177">
        <v>13.86474263299608</v>
      </c>
      <c r="H177">
        <v>57299</v>
      </c>
    </row>
    <row r="178" spans="1:8" x14ac:dyDescent="0.35">
      <c r="A178" s="1">
        <v>45754</v>
      </c>
      <c r="B178" t="s">
        <v>9</v>
      </c>
      <c r="C178">
        <v>7303</v>
      </c>
      <c r="D178">
        <v>869</v>
      </c>
      <c r="E178">
        <v>1073082</v>
      </c>
      <c r="F178">
        <f>Engagement_Summary[[#This Row],[New_Followers]]-Engagement_Summary[[#This Row],[Unfollows]]</f>
        <v>6434</v>
      </c>
      <c r="G178">
        <v>8.1237966902808925</v>
      </c>
      <c r="H178">
        <v>27073</v>
      </c>
    </row>
    <row r="179" spans="1:8" x14ac:dyDescent="0.35">
      <c r="A179" s="1">
        <v>45754</v>
      </c>
      <c r="B179" t="s">
        <v>10</v>
      </c>
      <c r="C179">
        <v>4983</v>
      </c>
      <c r="D179">
        <v>441</v>
      </c>
      <c r="E179">
        <v>1077624</v>
      </c>
      <c r="F179">
        <f>Engagement_Summary[[#This Row],[New_Followers]]-Engagement_Summary[[#This Row],[Unfollows]]</f>
        <v>4542</v>
      </c>
      <c r="G179">
        <v>6.8954477628560609</v>
      </c>
      <c r="H179">
        <v>46768</v>
      </c>
    </row>
    <row r="180" spans="1:8" x14ac:dyDescent="0.35">
      <c r="A180" s="1">
        <v>45754</v>
      </c>
      <c r="B180" t="s">
        <v>8</v>
      </c>
      <c r="C180">
        <v>9714</v>
      </c>
      <c r="D180">
        <v>1395</v>
      </c>
      <c r="E180">
        <v>1085943</v>
      </c>
      <c r="F180">
        <f>Engagement_Summary[[#This Row],[New_Followers]]-Engagement_Summary[[#This Row],[Unfollows]]</f>
        <v>8319</v>
      </c>
      <c r="G180">
        <v>5.2243073531483697</v>
      </c>
      <c r="H180">
        <v>40682</v>
      </c>
    </row>
    <row r="181" spans="1:8" x14ac:dyDescent="0.35">
      <c r="A181" s="1">
        <v>45754</v>
      </c>
      <c r="B181" t="s">
        <v>7</v>
      </c>
      <c r="C181">
        <v>1521</v>
      </c>
      <c r="D181">
        <v>96</v>
      </c>
      <c r="E181">
        <v>1087368</v>
      </c>
      <c r="F181">
        <f>Engagement_Summary[[#This Row],[New_Followers]]-Engagement_Summary[[#This Row],[Unfollows]]</f>
        <v>1425</v>
      </c>
      <c r="G181">
        <v>12.709772588488899</v>
      </c>
      <c r="H181">
        <v>42262</v>
      </c>
    </row>
    <row r="182" spans="1:8" x14ac:dyDescent="0.35">
      <c r="A182" s="1">
        <v>45761</v>
      </c>
      <c r="B182" t="s">
        <v>10</v>
      </c>
      <c r="C182">
        <v>8569</v>
      </c>
      <c r="D182">
        <v>720</v>
      </c>
      <c r="E182">
        <v>1095217</v>
      </c>
      <c r="F182">
        <f>Engagement_Summary[[#This Row],[New_Followers]]-Engagement_Summary[[#This Row],[Unfollows]]</f>
        <v>7849</v>
      </c>
      <c r="G182">
        <v>9.589697749395782</v>
      </c>
      <c r="H182">
        <v>41358</v>
      </c>
    </row>
    <row r="183" spans="1:8" x14ac:dyDescent="0.35">
      <c r="A183" s="1">
        <v>45761</v>
      </c>
      <c r="B183" t="s">
        <v>10</v>
      </c>
      <c r="C183">
        <v>6784</v>
      </c>
      <c r="D183">
        <v>416</v>
      </c>
      <c r="E183">
        <v>1101585</v>
      </c>
      <c r="F183">
        <f>Engagement_Summary[[#This Row],[New_Followers]]-Engagement_Summary[[#This Row],[Unfollows]]</f>
        <v>6368</v>
      </c>
      <c r="G183">
        <v>9.3041390360253633</v>
      </c>
      <c r="H183">
        <v>24289</v>
      </c>
    </row>
    <row r="184" spans="1:8" x14ac:dyDescent="0.35">
      <c r="A184" s="1">
        <v>45761</v>
      </c>
      <c r="B184" t="s">
        <v>10</v>
      </c>
      <c r="C184">
        <v>5583</v>
      </c>
      <c r="D184">
        <v>795</v>
      </c>
      <c r="E184">
        <v>1106373</v>
      </c>
      <c r="F184">
        <f>Engagement_Summary[[#This Row],[New_Followers]]-Engagement_Summary[[#This Row],[Unfollows]]</f>
        <v>4788</v>
      </c>
      <c r="G184">
        <v>12.21550055903389</v>
      </c>
      <c r="H184">
        <v>59823</v>
      </c>
    </row>
    <row r="185" spans="1:8" x14ac:dyDescent="0.35">
      <c r="A185" s="1">
        <v>45761</v>
      </c>
      <c r="B185" t="s">
        <v>10</v>
      </c>
      <c r="C185">
        <v>6946</v>
      </c>
      <c r="D185">
        <v>956</v>
      </c>
      <c r="E185">
        <v>1112363</v>
      </c>
      <c r="F185">
        <f>Engagement_Summary[[#This Row],[New_Followers]]-Engagement_Summary[[#This Row],[Unfollows]]</f>
        <v>5990</v>
      </c>
      <c r="G185">
        <v>1.64146056637986</v>
      </c>
      <c r="H185">
        <v>17927</v>
      </c>
    </row>
    <row r="186" spans="1:8" x14ac:dyDescent="0.35">
      <c r="A186" s="1">
        <v>45768</v>
      </c>
      <c r="B186" t="s">
        <v>7</v>
      </c>
      <c r="C186">
        <v>5941</v>
      </c>
      <c r="D186">
        <v>450</v>
      </c>
      <c r="E186">
        <v>1117854</v>
      </c>
      <c r="F186">
        <f>Engagement_Summary[[#This Row],[New_Followers]]-Engagement_Summary[[#This Row],[Unfollows]]</f>
        <v>5491</v>
      </c>
      <c r="G186">
        <v>12.414411899944</v>
      </c>
      <c r="H186">
        <v>58330</v>
      </c>
    </row>
    <row r="187" spans="1:8" x14ac:dyDescent="0.35">
      <c r="A187" s="1">
        <v>45768</v>
      </c>
      <c r="B187" t="s">
        <v>7</v>
      </c>
      <c r="C187">
        <v>7267</v>
      </c>
      <c r="D187">
        <v>842</v>
      </c>
      <c r="E187">
        <v>1124279</v>
      </c>
      <c r="F187">
        <f>Engagement_Summary[[#This Row],[New_Followers]]-Engagement_Summary[[#This Row],[Unfollows]]</f>
        <v>6425</v>
      </c>
      <c r="G187">
        <v>2.2102165031989389</v>
      </c>
      <c r="H187">
        <v>11171</v>
      </c>
    </row>
    <row r="188" spans="1:8" x14ac:dyDescent="0.35">
      <c r="A188" s="1">
        <v>45768</v>
      </c>
      <c r="B188" t="s">
        <v>8</v>
      </c>
      <c r="C188">
        <v>8128</v>
      </c>
      <c r="D188">
        <v>1070</v>
      </c>
      <c r="E188">
        <v>1131337</v>
      </c>
      <c r="F188">
        <f>Engagement_Summary[[#This Row],[New_Followers]]-Engagement_Summary[[#This Row],[Unfollows]]</f>
        <v>7058</v>
      </c>
      <c r="G188">
        <v>8.1114645768679008</v>
      </c>
      <c r="H188">
        <v>21918</v>
      </c>
    </row>
    <row r="189" spans="1:8" x14ac:dyDescent="0.35">
      <c r="A189" s="1">
        <v>45768</v>
      </c>
      <c r="B189" t="s">
        <v>7</v>
      </c>
      <c r="C189">
        <v>3461</v>
      </c>
      <c r="D189">
        <v>365</v>
      </c>
      <c r="E189">
        <v>1134433</v>
      </c>
      <c r="F189">
        <f>Engagement_Summary[[#This Row],[New_Followers]]-Engagement_Summary[[#This Row],[Unfollows]]</f>
        <v>3096</v>
      </c>
      <c r="G189">
        <v>10.23489267325616</v>
      </c>
      <c r="H189">
        <v>51903</v>
      </c>
    </row>
    <row r="190" spans="1:8" x14ac:dyDescent="0.35">
      <c r="A190" s="1">
        <v>45775</v>
      </c>
      <c r="B190" t="s">
        <v>10</v>
      </c>
      <c r="C190">
        <v>1685</v>
      </c>
      <c r="D190">
        <v>173</v>
      </c>
      <c r="E190">
        <v>1135945</v>
      </c>
      <c r="F190">
        <f>Engagement_Summary[[#This Row],[New_Followers]]-Engagement_Summary[[#This Row],[Unfollows]]</f>
        <v>1512</v>
      </c>
      <c r="G190">
        <v>8.7776256772995165</v>
      </c>
      <c r="H190">
        <v>49110</v>
      </c>
    </row>
    <row r="191" spans="1:8" x14ac:dyDescent="0.35">
      <c r="A191" s="1">
        <v>45775</v>
      </c>
      <c r="B191" t="s">
        <v>8</v>
      </c>
      <c r="C191">
        <v>3160</v>
      </c>
      <c r="D191">
        <v>234</v>
      </c>
      <c r="E191">
        <v>1138871</v>
      </c>
      <c r="F191">
        <f>Engagement_Summary[[#This Row],[New_Followers]]-Engagement_Summary[[#This Row],[Unfollows]]</f>
        <v>2926</v>
      </c>
      <c r="G191">
        <v>5.6959041015180816</v>
      </c>
      <c r="H191">
        <v>21929</v>
      </c>
    </row>
    <row r="192" spans="1:8" x14ac:dyDescent="0.35">
      <c r="A192" s="1">
        <v>45775</v>
      </c>
      <c r="B192" t="s">
        <v>8</v>
      </c>
      <c r="C192">
        <v>8031</v>
      </c>
      <c r="D192">
        <v>476</v>
      </c>
      <c r="E192">
        <v>1146426</v>
      </c>
      <c r="F192">
        <f>Engagement_Summary[[#This Row],[New_Followers]]-Engagement_Summary[[#This Row],[Unfollows]]</f>
        <v>7555</v>
      </c>
      <c r="G192">
        <v>11.940413075069831</v>
      </c>
      <c r="H192">
        <v>12539</v>
      </c>
    </row>
    <row r="193" spans="1:8" x14ac:dyDescent="0.35">
      <c r="A193" s="1">
        <v>45775</v>
      </c>
      <c r="B193" t="s">
        <v>8</v>
      </c>
      <c r="C193">
        <v>6341</v>
      </c>
      <c r="D193">
        <v>885</v>
      </c>
      <c r="E193">
        <v>1151882</v>
      </c>
      <c r="F193">
        <f>Engagement_Summary[[#This Row],[New_Followers]]-Engagement_Summary[[#This Row],[Unfollows]]</f>
        <v>5456</v>
      </c>
      <c r="G193">
        <v>6.3457020771224837</v>
      </c>
      <c r="H193">
        <v>46727</v>
      </c>
    </row>
    <row r="194" spans="1:8" x14ac:dyDescent="0.35">
      <c r="A194" s="1">
        <v>45782</v>
      </c>
      <c r="B194" t="s">
        <v>10</v>
      </c>
      <c r="C194">
        <v>1038</v>
      </c>
      <c r="D194">
        <v>145</v>
      </c>
      <c r="E194">
        <v>1152775</v>
      </c>
      <c r="F194">
        <f>Engagement_Summary[[#This Row],[New_Followers]]-Engagement_Summary[[#This Row],[Unfollows]]</f>
        <v>893</v>
      </c>
      <c r="G194">
        <v>11.093752033137431</v>
      </c>
      <c r="H194">
        <v>55951</v>
      </c>
    </row>
    <row r="195" spans="1:8" x14ac:dyDescent="0.35">
      <c r="A195" s="1">
        <v>45782</v>
      </c>
      <c r="B195" t="s">
        <v>9</v>
      </c>
      <c r="C195">
        <v>5875</v>
      </c>
      <c r="D195">
        <v>665</v>
      </c>
      <c r="E195">
        <v>1157985</v>
      </c>
      <c r="F195">
        <f>Engagement_Summary[[#This Row],[New_Followers]]-Engagement_Summary[[#This Row],[Unfollows]]</f>
        <v>5210</v>
      </c>
      <c r="G195">
        <v>6.9871371390821126</v>
      </c>
      <c r="H195">
        <v>32669</v>
      </c>
    </row>
    <row r="196" spans="1:8" x14ac:dyDescent="0.35">
      <c r="A196" s="1">
        <v>45782</v>
      </c>
      <c r="B196" t="s">
        <v>10</v>
      </c>
      <c r="C196">
        <v>2256</v>
      </c>
      <c r="D196">
        <v>189</v>
      </c>
      <c r="E196">
        <v>1160052</v>
      </c>
      <c r="F196">
        <f>Engagement_Summary[[#This Row],[New_Followers]]-Engagement_Summary[[#This Row],[Unfollows]]</f>
        <v>2067</v>
      </c>
      <c r="G196">
        <v>2.8935771844710412</v>
      </c>
      <c r="H196">
        <v>15432</v>
      </c>
    </row>
    <row r="197" spans="1:8" x14ac:dyDescent="0.35">
      <c r="A197" s="1">
        <v>45782</v>
      </c>
      <c r="B197" t="s">
        <v>7</v>
      </c>
      <c r="C197">
        <v>8697</v>
      </c>
      <c r="D197">
        <v>738</v>
      </c>
      <c r="E197">
        <v>1168011</v>
      </c>
      <c r="F197">
        <f>Engagement_Summary[[#This Row],[New_Followers]]-Engagement_Summary[[#This Row],[Unfollows]]</f>
        <v>7959</v>
      </c>
      <c r="G197">
        <v>3.8777032065622672</v>
      </c>
      <c r="H197">
        <v>30644</v>
      </c>
    </row>
    <row r="198" spans="1:8" x14ac:dyDescent="0.35">
      <c r="A198" s="1">
        <v>45789</v>
      </c>
      <c r="B198" t="s">
        <v>7</v>
      </c>
      <c r="C198">
        <v>3196</v>
      </c>
      <c r="D198">
        <v>391</v>
      </c>
      <c r="E198">
        <v>1170816</v>
      </c>
      <c r="F198">
        <f>Engagement_Summary[[#This Row],[New_Followers]]-Engagement_Summary[[#This Row],[Unfollows]]</f>
        <v>2805</v>
      </c>
      <c r="G198">
        <v>7.2439221876024931</v>
      </c>
      <c r="H198">
        <v>28745</v>
      </c>
    </row>
    <row r="199" spans="1:8" x14ac:dyDescent="0.35">
      <c r="A199" s="1">
        <v>45789</v>
      </c>
      <c r="B199" t="s">
        <v>10</v>
      </c>
      <c r="C199">
        <v>8165</v>
      </c>
      <c r="D199">
        <v>1140</v>
      </c>
      <c r="E199">
        <v>1177841</v>
      </c>
      <c r="F199">
        <f>Engagement_Summary[[#This Row],[New_Followers]]-Engagement_Summary[[#This Row],[Unfollows]]</f>
        <v>7025</v>
      </c>
      <c r="G199">
        <v>9.095964565675672</v>
      </c>
      <c r="H199">
        <v>38228</v>
      </c>
    </row>
    <row r="200" spans="1:8" x14ac:dyDescent="0.35">
      <c r="A200" s="1">
        <v>45789</v>
      </c>
      <c r="B200" t="s">
        <v>10</v>
      </c>
      <c r="C200">
        <v>1301</v>
      </c>
      <c r="D200">
        <v>180</v>
      </c>
      <c r="E200">
        <v>1178962</v>
      </c>
      <c r="F200">
        <f>Engagement_Summary[[#This Row],[New_Followers]]-Engagement_Summary[[#This Row],[Unfollows]]</f>
        <v>1121</v>
      </c>
      <c r="G200">
        <v>5.2275645864752214</v>
      </c>
      <c r="H200">
        <v>44521</v>
      </c>
    </row>
    <row r="201" spans="1:8" x14ac:dyDescent="0.35">
      <c r="A201" s="1">
        <v>45789</v>
      </c>
      <c r="B201" t="s">
        <v>8</v>
      </c>
      <c r="C201">
        <v>8527</v>
      </c>
      <c r="D201">
        <v>1091</v>
      </c>
      <c r="E201">
        <v>1186398</v>
      </c>
      <c r="F201">
        <f>Engagement_Summary[[#This Row],[New_Followers]]-Engagement_Summary[[#This Row],[Unfollows]]</f>
        <v>7436</v>
      </c>
      <c r="G201">
        <v>1.676081719625286</v>
      </c>
      <c r="H201">
        <v>41703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F85D5B-F8DC-453E-997A-C707808951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 6.4</vt:lpstr>
      <vt:lpstr>task 6.3</vt:lpstr>
      <vt:lpstr>task 6.2</vt:lpstr>
      <vt:lpstr>task 6.1</vt:lpstr>
      <vt:lpstr>Engagement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Premvasanth kadle</dc:creator>
  <cp:lastModifiedBy>Premvasanth kadle</cp:lastModifiedBy>
  <dcterms:created xsi:type="dcterms:W3CDTF">2025-12-15T15:34:14Z</dcterms:created>
  <dcterms:modified xsi:type="dcterms:W3CDTF">2025-12-18T16:09:55Z</dcterms:modified>
</cp:coreProperties>
</file>