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26" documentId="8_{BFC9DEF5-07CA-4B1C-9FEF-67C4A29CAFAC}" xr6:coauthVersionLast="47" xr6:coauthVersionMax="47" xr10:uidLastSave="{882A3A79-9AE7-4BAB-A993-BB276F697087}"/>
  <bookViews>
    <workbookView minimized="1" xWindow="1140" yWindow="1140" windowWidth="14400" windowHeight="8600" activeTab="3" xr2:uid="{1E809C57-B199-4E72-9161-A49928859C0B}"/>
  </bookViews>
  <sheets>
    <sheet name="task 5.1.1" sheetId="3" r:id="rId1"/>
    <sheet name="Task 5.1.2" sheetId="4" r:id="rId2"/>
    <sheet name="task 5.2.1" sheetId="5" r:id="rId3"/>
    <sheet name="task 5.2.2" sheetId="6" r:id="rId4"/>
    <sheet name="Posts" sheetId="2" r:id="rId5"/>
    <sheet name="Engagement Summary" sheetId="7" r:id="rId6"/>
    <sheet name="Sheet1" sheetId="1" r:id="rId7"/>
  </sheets>
  <definedNames>
    <definedName name="ExternalData_1" localSheetId="5" hidden="1">'Engagement Summary'!$A$1:$H$201</definedName>
    <definedName name="ExternalData_1" localSheetId="4" hidden="1">Posts!$A$1:$M$301</definedName>
    <definedName name="ExternalData_1" localSheetId="1" hidden="1">'Task 5.1.2'!$A$1:$G$6</definedName>
    <definedName name="ExternalData_1" localSheetId="2" hidden="1">'task 5.2.1'!$A$1:$G$6</definedName>
    <definedName name="ExternalData_1" localSheetId="3" hidden="1">'task 5.2.2'!$A$1:$G$6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6" l="1"/>
  <c r="N3" i="6"/>
  <c r="N4" i="6"/>
  <c r="N5" i="6"/>
  <c r="N6" i="6"/>
  <c r="K6" i="6" l="1"/>
  <c r="J6" i="6"/>
  <c r="H6" i="6"/>
  <c r="I6" i="6" s="1"/>
  <c r="L6" i="6" s="1"/>
  <c r="M6" i="6" s="1"/>
  <c r="K5" i="6"/>
  <c r="J5" i="6"/>
  <c r="H5" i="6"/>
  <c r="I5" i="6" s="1"/>
  <c r="L5" i="6" s="1"/>
  <c r="M5" i="6" s="1"/>
  <c r="K4" i="6"/>
  <c r="J4" i="6"/>
  <c r="H4" i="6"/>
  <c r="I4" i="6" s="1"/>
  <c r="L4" i="6" s="1"/>
  <c r="M4" i="6" s="1"/>
  <c r="K3" i="6"/>
  <c r="J3" i="6"/>
  <c r="H3" i="6"/>
  <c r="I3" i="6" s="1"/>
  <c r="L3" i="6" s="1"/>
  <c r="M3" i="6" s="1"/>
  <c r="K2" i="6"/>
  <c r="J2" i="6"/>
  <c r="H2" i="6"/>
  <c r="I2" i="6" s="1"/>
  <c r="L2" i="6" s="1"/>
  <c r="M2" i="6" s="1"/>
  <c r="N2" i="5"/>
  <c r="N3" i="5"/>
  <c r="N4" i="5"/>
  <c r="N5" i="5"/>
  <c r="N6" i="5"/>
  <c r="K6" i="5"/>
  <c r="J6" i="5"/>
  <c r="H6" i="5"/>
  <c r="I6" i="5" s="1"/>
  <c r="K5" i="5"/>
  <c r="J5" i="5"/>
  <c r="H5" i="5"/>
  <c r="I5" i="5" s="1"/>
  <c r="L5" i="5" s="1"/>
  <c r="M5" i="5" s="1"/>
  <c r="K4" i="5"/>
  <c r="J4" i="5"/>
  <c r="H4" i="5"/>
  <c r="I4" i="5" s="1"/>
  <c r="K3" i="5"/>
  <c r="J3" i="5"/>
  <c r="H3" i="5"/>
  <c r="I3" i="5" s="1"/>
  <c r="L3" i="5" s="1"/>
  <c r="K2" i="5"/>
  <c r="J2" i="5"/>
  <c r="H2" i="5"/>
  <c r="I2" i="5" s="1"/>
  <c r="L2" i="5" s="1"/>
  <c r="M2" i="5" s="1"/>
  <c r="M2" i="4"/>
  <c r="M3" i="4"/>
  <c r="M4" i="4"/>
  <c r="M5" i="4"/>
  <c r="M6" i="4"/>
  <c r="L2" i="4"/>
  <c r="L3" i="4"/>
  <c r="L4" i="4"/>
  <c r="L5" i="4"/>
  <c r="L6" i="4"/>
  <c r="K2" i="4"/>
  <c r="K3" i="4"/>
  <c r="K4" i="4"/>
  <c r="K5" i="4"/>
  <c r="K6" i="4"/>
  <c r="J2" i="4"/>
  <c r="J3" i="4"/>
  <c r="J4" i="4"/>
  <c r="J5" i="4"/>
  <c r="J6" i="4"/>
  <c r="H2" i="4"/>
  <c r="I2" i="4" s="1"/>
  <c r="H3" i="4"/>
  <c r="I3" i="4" s="1"/>
  <c r="H4" i="4"/>
  <c r="I4" i="4" s="1"/>
  <c r="H5" i="4"/>
  <c r="I5" i="4" s="1"/>
  <c r="H6" i="4"/>
  <c r="I6" i="4" s="1"/>
  <c r="L4" i="5" l="1"/>
  <c r="M4" i="5" s="1"/>
  <c r="L6" i="5"/>
  <c r="M6" i="5" s="1"/>
  <c r="M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7FADA-8976-4160-AC0B-2455F9F33391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D2D6C2F9-66E2-4473-8B30-956EB991CC08}" keepAlive="1" name="Query - Campaign Metadata (2)" description="Connection to the 'Campaign Metadata (2)' query in the workbook." type="5" refreshedVersion="8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F679BEEE-61AE-4305-9BF5-86F803ED9E39}" keepAlive="1" name="Query - Campaign Metadata (3)" description="Connection to the 'Campaign Metadata (3)' query in the workbook." type="5" refreshedVersion="8" background="1" saveData="1">
    <dbPr connection="Provider=Microsoft.Mashup.OleDb.1;Data Source=$Workbook$;Location=&quot;Campaign Metadata (3)&quot;;Extended Properties=&quot;&quot;" command="SELECT * FROM [Campaign Metadata (3)]"/>
  </connection>
  <connection id="4" xr16:uid="{FD6B090B-997A-4A01-B2AF-8BBDAD82AF5B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5" xr16:uid="{F50F32E4-24FD-4E66-800D-FA9E17C85643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<sst xmlns="http://schemas.openxmlformats.org/spreadsheetml/2006/main" count="1808" uniqueCount="374">
  <si>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</si>
  <si>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</si>
  <si>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</si>
  <si>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</si>
  <si>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</si>
  <si>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</si>
  <si>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</si>
  <si>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</si>
  <si>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</si>
  <si>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</si>
  <si>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</si>
  <si>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</si>
  <si>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engagement rate</t>
  </si>
  <si>
    <t>A1</t>
  </si>
  <si>
    <t>YouTube</t>
  </si>
  <si>
    <t>Image</t>
  </si>
  <si>
    <t>#AppleWatchUltra2,#HealthTech</t>
  </si>
  <si>
    <t>Apple Watch Ultra 2 Launch</t>
  </si>
  <si>
    <t>A2</t>
  </si>
  <si>
    <t>LinkedIn</t>
  </si>
  <si>
    <t>#MacBookAirM3,#AppleInnovation</t>
  </si>
  <si>
    <t>Apple Event September 2025</t>
  </si>
  <si>
    <t>A3</t>
  </si>
  <si>
    <t>Instagram</t>
  </si>
  <si>
    <t>Tweet</t>
  </si>
  <si>
    <t>#AppleDesign,#Innovation</t>
  </si>
  <si>
    <t>Sustainability Awareness Drive</t>
  </si>
  <si>
    <t>A4</t>
  </si>
  <si>
    <t>Video</t>
  </si>
  <si>
    <t>#AppleEvent,#iPadPro</t>
  </si>
  <si>
    <t>iPhone 16 Launch</t>
  </si>
  <si>
    <t>A5</t>
  </si>
  <si>
    <t>A6</t>
  </si>
  <si>
    <t>#ShotOniPhone</t>
  </si>
  <si>
    <t>A7</t>
  </si>
  <si>
    <t>Carousel</t>
  </si>
  <si>
    <t>#AppleMusic,#AppleLifestyle</t>
  </si>
  <si>
    <t>A8</t>
  </si>
  <si>
    <t>#AppleWatch,#Health</t>
  </si>
  <si>
    <t>A9</t>
  </si>
  <si>
    <t>A10</t>
  </si>
  <si>
    <t>Twitter</t>
  </si>
  <si>
    <t>#iPhone16Launch,#AppleEvent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</si>
  <si>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</si>
  <si>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</si>
  <si>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</si>
  <si>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</si>
  <si>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</si>
  <si>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</si>
  <si>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</si>
  <si>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</si>
  <si>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</si>
  <si>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</si>
  <si>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</si>
  <si>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</si>
  <si>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</si>
  <si>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</si>
  <si>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</si>
  <si>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</si>
  <si>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</si>
  <si>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</si>
  <si>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</si>
  <si>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</si>
  <si>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</si>
  <si>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</si>
  <si>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</si>
  <si>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</si>
  <si>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</si>
  <si>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</si>
  <si>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</si>
  <si>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</si>
  <si>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</si>
  <si>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</si>
  <si>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</si>
  <si>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</si>
  <si>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</si>
  <si>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</si>
  <si>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</si>
  <si>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</si>
  <si>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</si>
  <si>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</si>
  <si>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</si>
  <si>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</si>
  <si>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</si>
  <si>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</si>
  <si>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</si>
  <si>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</si>
  <si>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</si>
  <si>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</si>
  <si>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</si>
  <si>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</si>
  <si>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</si>
  <si>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</si>
  <si>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</si>
  <si>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</si>
  <si>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</si>
  <si>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</si>
  <si>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</si>
  <si>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</si>
  <si>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</si>
  <si>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</si>
  <si>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</si>
  <si>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</si>
  <si>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</si>
  <si>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</si>
  <si>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</si>
  <si>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</si>
  <si>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</si>
  <si>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</si>
  <si>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</si>
  <si>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</si>
  <si>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</si>
  <si>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</si>
  <si>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</si>
  <si>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</si>
  <si>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</si>
  <si>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</si>
  <si>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</si>
  <si>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</si>
  <si>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</si>
  <si>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</si>
  <si>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</si>
  <si>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</si>
  <si>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</si>
  <si>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</si>
  <si>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</si>
  <si>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</si>
  <si>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</si>
  <si>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</si>
  <si>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</si>
  <si>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</si>
  <si>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</si>
  <si>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</si>
  <si>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</si>
  <si>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</si>
  <si>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</si>
  <si>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</si>
  <si>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</si>
  <si>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</si>
  <si>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</si>
  <si>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</si>
  <si>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</si>
  <si>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</si>
  <si>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</si>
  <si>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</si>
  <si>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</si>
  <si>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</si>
  <si>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</si>
  <si>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</si>
  <si>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</si>
  <si>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</si>
  <si>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</si>
  <si>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</si>
  <si>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</si>
  <si>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</si>
  <si>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</si>
  <si>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</si>
  <si>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</si>
  <si>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</si>
  <si>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</si>
  <si>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</si>
  <si>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</si>
  <si>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</si>
  <si>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</si>
  <si>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</si>
  <si>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</si>
  <si>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</si>
  <si>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</si>
  <si>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</si>
  <si>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</si>
  <si>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</si>
  <si>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</si>
  <si>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</si>
  <si>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</si>
  <si>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</si>
  <si>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</si>
  <si>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</si>
  <si>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</si>
  <si>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</si>
  <si>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</si>
  <si>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</si>
  <si>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</si>
  <si>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</si>
  <si>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</si>
  <si>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</si>
  <si>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</si>
  <si>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</si>
  <si>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</si>
  <si>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</si>
  <si>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</si>
  <si>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</si>
  <si>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</si>
  <si>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</si>
  <si>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</si>
  <si>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</si>
  <si>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</si>
  <si>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</si>
  <si>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</si>
  <si>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</si>
  <si>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</si>
  <si>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</si>
  <si>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</si>
  <si>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</si>
  <si>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</si>
  <si>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</si>
  <si>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</si>
  <si>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</si>
  <si>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</si>
  <si>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</si>
  <si>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</si>
  <si>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</si>
  <si>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</si>
  <si>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</si>
  <si>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</si>
  <si>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</si>
  <si>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</si>
  <si>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</si>
  <si>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</si>
  <si>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</si>
  <si>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</si>
  <si>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</si>
  <si>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</si>
  <si>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</si>
  <si>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</si>
  <si>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</si>
  <si>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</si>
  <si>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</si>
  <si>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</si>
  <si>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</si>
  <si>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</si>
  <si>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</si>
  <si>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</si>
  <si>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</si>
  <si>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</si>
  <si>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</si>
  <si>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</si>
  <si>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</si>
  <si>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</si>
  <si>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</si>
  <si>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</si>
  <si>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</si>
  <si>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</si>
  <si>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</si>
  <si>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</si>
  <si>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</si>
  <si>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</si>
  <si>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</si>
  <si>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</si>
  <si>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</si>
  <si>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</si>
  <si>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</si>
  <si>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</si>
  <si>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</si>
  <si>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</si>
  <si>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</si>
  <si>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</si>
  <si>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</si>
  <si>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</si>
  <si>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</si>
  <si>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</si>
  <si>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</si>
  <si>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</si>
  <si>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</si>
  <si>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</si>
  <si>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</si>
  <si>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</si>
  <si>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</si>
  <si>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</si>
  <si>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</si>
  <si>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</si>
  <si>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</si>
  <si>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</si>
  <si>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</si>
  <si>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</si>
  <si>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</si>
  <si>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</si>
  <si>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</si>
  <si>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</si>
  <si>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</si>
  <si>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</si>
  <si>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</si>
  <si>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</si>
  <si>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</si>
  <si>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</si>
  <si>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</si>
  <si>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</si>
  <si>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</si>
  <si>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</si>
  <si>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</si>
  <si>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</si>
  <si>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</si>
  <si>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</si>
  <si>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</si>
  <si>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</si>
  <si>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</si>
  <si>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</si>
  <si>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</si>
  <si>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</si>
  <si>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</si>
  <si>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</si>
  <si>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</si>
  <si>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</si>
  <si>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</si>
  <si>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</si>
  <si>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</si>
  <si>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</si>
  <si>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</si>
  <si>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</si>
  <si>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</si>
  <si>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</si>
  <si>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</si>
  <si>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</si>
  <si>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</si>
  <si>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</si>
  <si>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</si>
  <si>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</si>
  <si>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</si>
  <si>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</si>
  <si>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</si>
  <si>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</si>
  <si>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</si>
  <si>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</si>
  <si>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</si>
  <si>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</si>
  <si>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</si>
  <si>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</si>
  <si>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</si>
  <si>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</si>
  <si>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</si>
  <si>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</si>
  <si>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</si>
  <si>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</si>
  <si>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</si>
  <si>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</si>
  <si>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</si>
  <si>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</si>
  <si>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</si>
  <si>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</si>
  <si>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Row Labels</t>
  </si>
  <si>
    <t>Grand Total</t>
  </si>
  <si>
    <t>Sum of Likes</t>
  </si>
  <si>
    <t>Sum of Impressions</t>
  </si>
  <si>
    <t>Sum of Clicks</t>
  </si>
  <si>
    <t>Average of Clicks</t>
  </si>
  <si>
    <t>Average of _Likes</t>
  </si>
  <si>
    <t>Average of Impressions</t>
  </si>
  <si>
    <t>Campaign_Name</t>
  </si>
  <si>
    <t>Start_Date</t>
  </si>
  <si>
    <t>End_Date</t>
  </si>
  <si>
    <t>Objective</t>
  </si>
  <si>
    <t>Ad_Spend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</si>
  <si>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</si>
  <si>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</si>
  <si>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</si>
  <si>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</si>
  <si>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</si>
  <si>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</si>
  <si>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Campaign _days</t>
  </si>
  <si>
    <t>pre_campaign _date_start</t>
  </si>
  <si>
    <t>pre_campaign_end_date</t>
  </si>
  <si>
    <t>engagement_during</t>
  </si>
  <si>
    <t>engagement _before</t>
  </si>
  <si>
    <t>engagement_uplift2</t>
  </si>
  <si>
    <t>ROI</t>
  </si>
  <si>
    <t>Net_followers_gain</t>
  </si>
  <si>
    <t>Week_Start_Date</t>
  </si>
  <si>
    <t>New_Followers</t>
  </si>
  <si>
    <t>Unfollows</t>
  </si>
  <si>
    <t>Total_Followers</t>
  </si>
  <si>
    <t>Engagement_Rate</t>
  </si>
  <si>
    <t>Net _followers_gains</t>
  </si>
  <si>
    <t>Total &amp; Average Impressions, Likes, Clicks per Campaign.</t>
  </si>
  <si>
    <t>Measure engagement uplift during vs. before campaigns</t>
  </si>
  <si>
    <t>the highest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</si>
</sst>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8.866765393519" createdVersion="8" refreshedVersion="8" minRefreshableVersion="3" recordCount="300" xr:uid="{ADE79E87-C8AB-41D1-8AF2-0A37A3E8F7FB}">
  <cacheSource type="worksheet">
    <worksheetSource name="Posts"/>
  </cacheSource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s v="Image"/>
    <s v="#AppleWatchUltra2,#HealthTech"/>
    <n v="24516"/>
    <n v="976"/>
    <n v="974"/>
    <n v="2675"/>
    <n v="23275"/>
    <n v="202932"/>
    <x v="0"/>
    <n v="26466"/>
  </r>
  <r>
    <s v="A2"/>
    <x v="1"/>
    <d v="2025-09-03T00:00:00"/>
    <s v="Image"/>
    <s v="#MacBookAirM3,#AppleInnovation"/>
    <n v="4779"/>
    <n v="1110"/>
    <n v="436"/>
    <n v="1574"/>
    <n v="77167"/>
    <n v="71585"/>
    <x v="1"/>
    <n v="6325"/>
  </r>
  <r>
    <s v="A3"/>
    <x v="2"/>
    <d v="2025-05-12T00:00:00"/>
    <s v="Tweet"/>
    <s v="#AppleDesign,#Innovation"/>
    <n v="19308"/>
    <n v="1318"/>
    <n v="795"/>
    <n v="1499"/>
    <n v="52307"/>
    <n v="193087"/>
    <x v="2"/>
    <n v="21421"/>
  </r>
  <r>
    <s v="A4"/>
    <x v="0"/>
    <d v="2024-08-12T00:00:00"/>
    <s v="Video"/>
    <s v="#AppleEvent,#iPadPro"/>
    <n v="3581"/>
    <n v="517"/>
    <n v="880"/>
    <n v="1925"/>
    <n v="18636"/>
    <n v="248611"/>
    <x v="3"/>
    <n v="4978"/>
  </r>
  <r>
    <s v="A5"/>
    <x v="0"/>
    <d v="2025-09-04T00:00:00"/>
    <s v="Video"/>
    <s v="#AppleWatchUltra2,#HealthTech"/>
    <n v="21708"/>
    <n v="435"/>
    <n v="317"/>
    <n v="1213"/>
    <n v="70701"/>
    <n v="83585"/>
    <x v="1"/>
    <n v="22460"/>
  </r>
  <r>
    <s v="A6"/>
    <x v="1"/>
    <d v="2025-09-05T00:00:00"/>
    <s v="Image"/>
    <s v="#ShotOniPhone"/>
    <n v="14677"/>
    <n v="533"/>
    <n v="759"/>
    <n v="753"/>
    <n v="23275"/>
    <n v="66958"/>
    <x v="1"/>
    <n v="15969"/>
  </r>
  <r>
    <s v="A7"/>
    <x v="2"/>
    <d v="2024-06-24T00:00:00"/>
    <s v="Carousel"/>
    <s v="#AppleMusic,#AppleLifestyle"/>
    <n v="7713"/>
    <n v="575"/>
    <n v="417"/>
    <n v="336"/>
    <n v="61660"/>
    <n v="66017"/>
    <x v="3"/>
    <n v="8705"/>
  </r>
  <r>
    <s v="A8"/>
    <x v="2"/>
    <d v="2024-07-13T00:00:00"/>
    <s v="Video"/>
    <s v="#AppleWatch,#Health"/>
    <n v="18639"/>
    <n v="1360"/>
    <n v="898"/>
    <n v="2011"/>
    <n v="42841"/>
    <n v="247779"/>
    <x v="3"/>
    <n v="20897"/>
  </r>
  <r>
    <s v="A9"/>
    <x v="0"/>
    <d v="2024-08-30T00:00:00"/>
    <s v="Carousel"/>
    <s v="#MacBookAirM3,#AppleInnovation"/>
    <n v="6804"/>
    <n v="787"/>
    <n v="970"/>
    <n v="1095"/>
    <n v="56343"/>
    <n v="164677"/>
    <x v="0"/>
    <n v="8561"/>
  </r>
  <r>
    <s v="A10"/>
    <x v="3"/>
    <d v="2025-03-11T00:00:00"/>
    <s v="Video"/>
    <s v="#iPhone16Launch,#AppleEvent"/>
    <n v="20222"/>
    <n v="712"/>
    <n v="604"/>
    <n v="1272"/>
    <n v="71598"/>
    <n v="216422"/>
    <x v="2"/>
    <n v="21538"/>
  </r>
  <r>
    <s v="A11"/>
    <x v="0"/>
    <d v="2025-02-02T00:00:00"/>
    <s v="Carousel"/>
    <s v="#AppleEvent,#iPadPro"/>
    <n v="12136"/>
    <n v="1117"/>
    <n v="834"/>
    <n v="892"/>
    <n v="24675"/>
    <n v="183273"/>
    <x v="2"/>
    <n v="14087"/>
  </r>
  <r>
    <s v="A12"/>
    <x v="0"/>
    <d v="2024-07-21T00:00:00"/>
    <s v="Tweet"/>
    <s v="#MacBookAirM3,#AppleInnovation"/>
    <n v="2009"/>
    <n v="1072"/>
    <n v="550"/>
    <n v="1437"/>
    <n v="22982"/>
    <n v="69426"/>
    <x v="3"/>
    <n v="3631"/>
  </r>
  <r>
    <s v="A13"/>
    <x v="0"/>
    <d v="2024-11-18T00:00:00"/>
    <s v="Carousel"/>
    <s v="#AppleMusic,#AppleLifestyle"/>
    <n v="21255"/>
    <n v="1452"/>
    <n v="625"/>
    <n v="1624"/>
    <n v="21282"/>
    <n v="57778"/>
    <x v="4"/>
    <n v="23332"/>
  </r>
  <r>
    <s v="A14"/>
    <x v="0"/>
    <d v="2025-09-06T00:00:00"/>
    <s v="Tweet"/>
    <s v="#AppleWatch,#Health"/>
    <n v="7124"/>
    <n v="469"/>
    <n v="851"/>
    <n v="2571"/>
    <n v="33802"/>
    <n v="216313"/>
    <x v="1"/>
    <n v="8444"/>
  </r>
  <r>
    <s v="A15"/>
    <x v="1"/>
    <d v="2025-09-07T00:00:00"/>
    <s v="Tweet"/>
    <s v="#AppleDesign,#Innovation"/>
    <n v="3015"/>
    <n v="997"/>
    <n v="783"/>
    <n v="617"/>
    <n v="77167"/>
    <n v="82229"/>
    <x v="1"/>
    <n v="4795"/>
  </r>
  <r>
    <s v="A16"/>
    <x v="2"/>
    <d v="2024-08-26T00:00:00"/>
    <s v="Carousel"/>
    <s v="#AppleWatch,#Health"/>
    <n v="4193"/>
    <n v="924"/>
    <n v="707"/>
    <n v="2696"/>
    <n v="55075"/>
    <n v="126652"/>
    <x v="3"/>
    <n v="5824"/>
  </r>
  <r>
    <s v="A17"/>
    <x v="1"/>
    <d v="2025-05-05T00:00:00"/>
    <s v="Tweet"/>
    <s v="#AppleEvent,#iPhone16"/>
    <n v="10415"/>
    <n v="1388"/>
    <n v="725"/>
    <n v="2462"/>
    <n v="53082"/>
    <n v="168267"/>
    <x v="4"/>
    <n v="12528"/>
  </r>
  <r>
    <s v="A18"/>
    <x v="1"/>
    <d v="2024-08-19T00:00:00"/>
    <s v="Image"/>
    <s v="#AppleWatch,#Health"/>
    <n v="15550"/>
    <n v="204"/>
    <n v="279"/>
    <n v="1646"/>
    <n v="35819"/>
    <n v="219436"/>
    <x v="0"/>
    <n v="16033"/>
  </r>
  <r>
    <s v="A19"/>
    <x v="1"/>
    <d v="2024-06-23T00:00:00"/>
    <s v="Tweet"/>
    <s v="#AppleEvent,#iPhone16"/>
    <n v="16512"/>
    <n v="1050"/>
    <n v="971"/>
    <n v="1891"/>
    <n v="15865"/>
    <n v="166503"/>
    <x v="3"/>
    <n v="18533"/>
  </r>
  <r>
    <s v="A20"/>
    <x v="0"/>
    <d v="2024-09-09T00:00:00"/>
    <s v="Video"/>
    <s v="#AppleDesign,#Innovation"/>
    <n v="6158"/>
    <n v="277"/>
    <n v="512"/>
    <n v="2189"/>
    <n v="76881"/>
    <n v="124878"/>
    <x v="3"/>
    <n v="6947"/>
  </r>
  <r>
    <s v="A21"/>
    <x v="3"/>
    <d v="2025-09-08T00:00:00"/>
    <s v="Carousel"/>
    <s v="#iPhonePhotography,#ShotOniPhone"/>
    <n v="22309"/>
    <n v="773"/>
    <n v="854"/>
    <n v="2387"/>
    <n v="72396"/>
    <n v="97056"/>
    <x v="1"/>
    <n v="23936"/>
  </r>
  <r>
    <s v="A22"/>
    <x v="2"/>
    <d v="2025-02-27T00:00:00"/>
    <s v="Image"/>
    <s v="#AppleMusic,#AppleLifestyle"/>
    <n v="8970"/>
    <n v="331"/>
    <n v="968"/>
    <n v="2296"/>
    <n v="24613"/>
    <n v="198562"/>
    <x v="3"/>
    <n v="10269"/>
  </r>
  <r>
    <s v="A23"/>
    <x v="3"/>
    <d v="2024-11-06T00:00:00"/>
    <s v="Carousel"/>
    <s v="#AppleEvent,#iPhone16"/>
    <n v="8938"/>
    <n v="800"/>
    <n v="842"/>
    <n v="2072"/>
    <n v="31736"/>
    <n v="59975"/>
    <x v="3"/>
    <n v="10580"/>
  </r>
  <r>
    <s v="A24"/>
    <x v="1"/>
    <d v="2025-01-23T00:00:00"/>
    <s v="Video"/>
    <s v="#iPhone16Launch,#AppleEvent"/>
    <n v="23168"/>
    <n v="1265"/>
    <n v="441"/>
    <n v="1612"/>
    <n v="66615"/>
    <n v="197795"/>
    <x v="3"/>
    <n v="24874"/>
  </r>
  <r>
    <s v="A25"/>
    <x v="1"/>
    <d v="2025-09-09T00:00:00"/>
    <s v="Video"/>
    <s v="#AppleWatch,#Health"/>
    <n v="15772"/>
    <n v="288"/>
    <n v="520"/>
    <n v="1585"/>
    <n v="59182"/>
    <n v="194351"/>
    <x v="1"/>
    <n v="16580"/>
  </r>
  <r>
    <s v="A26"/>
    <x v="3"/>
    <d v="2025-04-05T00:00:00"/>
    <s v="Video"/>
    <s v="#AppleWatch,#Health"/>
    <n v="22384"/>
    <n v="601"/>
    <n v="943"/>
    <n v="515"/>
    <n v="41309"/>
    <n v="249373"/>
    <x v="0"/>
    <n v="23928"/>
  </r>
  <r>
    <s v="A27"/>
    <x v="3"/>
    <d v="2024-09-17T00:00:00"/>
    <s v="Tweet"/>
    <s v="#iPhone16Launch,#AppleEvent"/>
    <n v="20017"/>
    <n v="495"/>
    <n v="178"/>
    <n v="2683"/>
    <n v="32244"/>
    <n v="182633"/>
    <x v="0"/>
    <n v="20690"/>
  </r>
  <r>
    <s v="A28"/>
    <x v="3"/>
    <d v="2025-03-04T00:00:00"/>
    <s v="Tweet"/>
    <s v="#ShotOniPhone"/>
    <n v="12344"/>
    <n v="815"/>
    <n v="298"/>
    <n v="2439"/>
    <n v="6259"/>
    <n v="237133"/>
    <x v="3"/>
    <n v="13457"/>
  </r>
  <r>
    <s v="A29"/>
    <x v="1"/>
    <d v="2025-09-10T00:00:00"/>
    <s v="Carousel"/>
    <s v="#MacBookProM3"/>
    <n v="9266"/>
    <n v="999"/>
    <n v="928"/>
    <n v="2700"/>
    <n v="12264"/>
    <n v="128397"/>
    <x v="1"/>
    <n v="11193"/>
  </r>
  <r>
    <s v="A30"/>
    <x v="1"/>
    <d v="2025-02-25T00:00:00"/>
    <s v="Carousel"/>
    <s v="#iPhonePhotography,#ShotOniPhone"/>
    <n v="10702"/>
    <n v="621"/>
    <n v="445"/>
    <n v="2918"/>
    <n v="54808"/>
    <n v="220225"/>
    <x v="0"/>
    <n v="11768"/>
  </r>
  <r>
    <s v="A31"/>
    <x v="2"/>
    <d v="2024-12-16T00:00:00"/>
    <s v="Image"/>
    <s v="#AppleEvent,#iPadPro"/>
    <n v="2384"/>
    <n v="1246"/>
    <n v="160"/>
    <n v="2004"/>
    <n v="2701"/>
    <n v="73142"/>
    <x v="0"/>
    <n v="3790"/>
  </r>
  <r>
    <s v="A32"/>
    <x v="2"/>
    <d v="2024-07-31T00:00:00"/>
    <s v="Image"/>
    <s v="#AppleEvent,#iPhone16"/>
    <n v="2404"/>
    <n v="774"/>
    <n v="661"/>
    <n v="662"/>
    <n v="12676"/>
    <n v="66916"/>
    <x v="0"/>
    <n v="3839"/>
  </r>
  <r>
    <s v="A33"/>
    <x v="1"/>
    <d v="2025-09-11T00:00:00"/>
    <s v="Carousel"/>
    <s v="#iPhone16Launch,#AppleEvent"/>
    <n v="10175"/>
    <n v="342"/>
    <n v="825"/>
    <n v="2904"/>
    <n v="15954"/>
    <n v="104324"/>
    <x v="1"/>
    <n v="11342"/>
  </r>
  <r>
    <s v="A34"/>
    <x v="3"/>
    <d v="2025-09-12T00:00:00"/>
    <s v="Tweet"/>
    <s v="#AppleDesign,#Innovation"/>
    <n v="17158"/>
    <n v="1192"/>
    <n v="262"/>
    <n v="2016"/>
    <n v="28771"/>
    <n v="216037"/>
    <x v="1"/>
    <n v="18612"/>
  </r>
  <r>
    <s v="A35"/>
    <x v="3"/>
    <d v="2024-11-30T00:00:00"/>
    <s v="Video"/>
    <s v="#AppleEvent,#iPhone16"/>
    <n v="14763"/>
    <n v="864"/>
    <n v="336"/>
    <n v="1493"/>
    <n v="33310"/>
    <n v="165932"/>
    <x v="3"/>
    <n v="15963"/>
  </r>
  <r>
    <s v="A36"/>
    <x v="2"/>
    <d v="2025-04-19T00:00:00"/>
    <s v="Carousel"/>
    <s v="#MacBookProM3"/>
    <n v="20384"/>
    <n v="344"/>
    <n v="956"/>
    <n v="655"/>
    <n v="67621"/>
    <n v="175720"/>
    <x v="2"/>
    <n v="21684"/>
  </r>
  <r>
    <s v="A37"/>
    <x v="1"/>
    <d v="2025-01-06T00:00:00"/>
    <s v="Image"/>
    <s v="#AppleDesign,#Innovation"/>
    <n v="11860"/>
    <n v="1448"/>
    <n v="893"/>
    <n v="490"/>
    <n v="23518"/>
    <n v="206205"/>
    <x v="0"/>
    <n v="14201"/>
  </r>
  <r>
    <s v="A38"/>
    <x v="2"/>
    <d v="2025-02-17T00:00:00"/>
    <s v="Tweet"/>
    <s v="#MacBookAirM3,#AppleInnovation"/>
    <n v="7989"/>
    <n v="1206"/>
    <n v="376"/>
    <n v="2769"/>
    <n v="27550"/>
    <n v="221749"/>
    <x v="2"/>
    <n v="9571"/>
  </r>
  <r>
    <s v="A39"/>
    <x v="2"/>
    <d v="2025-09-13T00:00:00"/>
    <s v="Carousel"/>
    <s v="#AppleMusic,#AppleLifestyle"/>
    <n v="17106"/>
    <n v="702"/>
    <n v="459"/>
    <n v="999"/>
    <n v="59627"/>
    <n v="136059"/>
    <x v="1"/>
    <n v="18267"/>
  </r>
  <r>
    <s v="A40"/>
    <x v="0"/>
    <d v="2025-09-14T00:00:00"/>
    <s v="Carousel"/>
    <s v="#AppleWatch,#Health"/>
    <n v="19844"/>
    <n v="1020"/>
    <n v="247"/>
    <n v="2354"/>
    <n v="37792"/>
    <n v="138317"/>
    <x v="1"/>
    <n v="21111"/>
  </r>
  <r>
    <s v="A41"/>
    <x v="0"/>
    <d v="2025-09-15T00:00:00"/>
    <s v="Tweet"/>
    <s v="#MacBookAirM3,#AppleInnovation"/>
    <n v="5636"/>
    <n v="303"/>
    <n v="204"/>
    <n v="2480"/>
    <n v="7377"/>
    <n v="241207"/>
    <x v="1"/>
    <n v="6143"/>
  </r>
  <r>
    <s v="A42"/>
    <x v="0"/>
    <d v="2025-03-05T00:00:00"/>
    <s v="Carousel"/>
    <s v="#AppleEvent,#iPhone16"/>
    <n v="12916"/>
    <n v="1262"/>
    <n v="772"/>
    <n v="856"/>
    <n v="11496"/>
    <n v="75046"/>
    <x v="2"/>
    <n v="14950"/>
  </r>
  <r>
    <s v="A43"/>
    <x v="3"/>
    <d v="2025-09-16T00:00:00"/>
    <s v="Tweet"/>
    <s v="#MacBookProM3"/>
    <n v="6809"/>
    <n v="397"/>
    <n v="813"/>
    <n v="1125"/>
    <n v="12206"/>
    <n v="218136"/>
    <x v="1"/>
    <n v="8019"/>
  </r>
  <r>
    <s v="A44"/>
    <x v="1"/>
    <d v="2025-03-02T00:00:00"/>
    <s v="Video"/>
    <s v="#iPhonePhotography,#ShotOniPhone"/>
    <n v="22562"/>
    <n v="778"/>
    <n v="907"/>
    <n v="1354"/>
    <n v="34475"/>
    <n v="141459"/>
    <x v="3"/>
    <n v="24247"/>
  </r>
  <r>
    <s v="A45"/>
    <x v="1"/>
    <d v="2025-09-17T00:00:00"/>
    <s v="Tweet"/>
    <s v="#AppleMusic,#AppleLifestyle"/>
    <n v="15456"/>
    <n v="590"/>
    <n v="555"/>
    <n v="2882"/>
    <n v="49816"/>
    <n v="240422"/>
    <x v="1"/>
    <n v="16601"/>
  </r>
  <r>
    <s v="A46"/>
    <x v="1"/>
    <d v="2025-05-02T00:00:00"/>
    <s v="Tweet"/>
    <s v="#AppleEvent,#iPhone16"/>
    <n v="17444"/>
    <n v="1402"/>
    <n v="218"/>
    <n v="725"/>
    <n v="8710"/>
    <n v="85893"/>
    <x v="4"/>
    <n v="19064"/>
  </r>
  <r>
    <s v="A47"/>
    <x v="1"/>
    <d v="2025-02-24T00:00:00"/>
    <s v="Tweet"/>
    <s v="#iPhone16Launch,#AppleEvent"/>
    <n v="24984"/>
    <n v="753"/>
    <n v="461"/>
    <n v="2710"/>
    <n v="20792"/>
    <n v="141520"/>
    <x v="2"/>
    <n v="26198"/>
  </r>
  <r>
    <s v="A48"/>
    <x v="0"/>
    <d v="2025-03-11T00:00:00"/>
    <s v="Carousel"/>
    <s v="#AppleWatchUltra2,#HealthTech"/>
    <n v="7997"/>
    <n v="1238"/>
    <n v="438"/>
    <n v="1874"/>
    <n v="36272"/>
    <n v="165818"/>
    <x v="4"/>
    <n v="9673"/>
  </r>
  <r>
    <s v="A49"/>
    <x v="3"/>
    <d v="2025-09-18T00:00:00"/>
    <s v="Carousel"/>
    <s v="#AppleEvent,#iPhone16"/>
    <n v="4048"/>
    <n v="677"/>
    <n v="911"/>
    <n v="2429"/>
    <n v="27361"/>
    <n v="101272"/>
    <x v="1"/>
    <n v="5636"/>
  </r>
  <r>
    <s v="A50"/>
    <x v="3"/>
    <d v="2024-07-03T00:00:00"/>
    <s v="Tweet"/>
    <s v="#AppleMusic,#AppleLifestyle"/>
    <n v="14338"/>
    <n v="1454"/>
    <n v="697"/>
    <n v="2703"/>
    <n v="21288"/>
    <n v="107649"/>
    <x v="3"/>
    <n v="16489"/>
  </r>
  <r>
    <s v="A51"/>
    <x v="0"/>
    <d v="2024-06-13T00:00:00"/>
    <s v="Carousel"/>
    <s v="#AppleWatch,#Health"/>
    <n v="23164"/>
    <n v="1122"/>
    <n v="900"/>
    <n v="888"/>
    <n v="36938"/>
    <n v="104674"/>
    <x v="0"/>
    <n v="25186"/>
  </r>
  <r>
    <s v="A52"/>
    <x v="3"/>
    <d v="2025-09-19T00:00:00"/>
    <s v="Image"/>
    <s v="#AppleWatch,#Health"/>
    <n v="19100"/>
    <n v="619"/>
    <n v="297"/>
    <n v="2312"/>
    <n v="9730"/>
    <n v="184832"/>
    <x v="1"/>
    <n v="20016"/>
  </r>
  <r>
    <s v="A53"/>
    <x v="0"/>
    <d v="2025-02-24T00:00:00"/>
    <s v="Image"/>
    <s v="#AppleEvent,#iPhone16"/>
    <n v="23949"/>
    <n v="356"/>
    <n v="616"/>
    <n v="1847"/>
    <n v="3144"/>
    <n v="192999"/>
    <x v="3"/>
    <n v="24921"/>
  </r>
  <r>
    <s v="A54"/>
    <x v="1"/>
    <d v="2025-03-13T00:00:00"/>
    <s v="Carousel"/>
    <s v="#AppleDesign,#Innovation"/>
    <n v="6544"/>
    <n v="749"/>
    <n v="888"/>
    <n v="594"/>
    <n v="18171"/>
    <n v="126475"/>
    <x v="2"/>
    <n v="8181"/>
  </r>
  <r>
    <s v="A55"/>
    <x v="0"/>
    <d v="2024-06-17T00:00:00"/>
    <s v="Carousel"/>
    <s v="#AppleWatchUltra2,#HealthTech"/>
    <n v="6976"/>
    <n v="1320"/>
    <n v="393"/>
    <n v="2285"/>
    <n v="14049"/>
    <n v="101367"/>
    <x v="4"/>
    <n v="8689"/>
  </r>
  <r>
    <s v="A56"/>
    <x v="1"/>
    <d v="2024-12-18T00:00:00"/>
    <s v="Tweet"/>
    <s v="#iPhone16Launch,#AppleEvent"/>
    <n v="14775"/>
    <n v="1220"/>
    <n v="640"/>
    <n v="1547"/>
    <n v="28527"/>
    <n v="183660"/>
    <x v="4"/>
    <n v="16635"/>
  </r>
  <r>
    <s v="A57"/>
    <x v="1"/>
    <d v="2024-10-21T00:00:00"/>
    <s v="Video"/>
    <s v="#AppleEvent,#iPhone16"/>
    <n v="12015"/>
    <n v="1196"/>
    <n v="998"/>
    <n v="1848"/>
    <n v="44739"/>
    <n v="161750"/>
    <x v="4"/>
    <n v="14209"/>
  </r>
  <r>
    <s v="A58"/>
    <x v="2"/>
    <d v="2025-04-15T00:00:00"/>
    <s v="Carousel"/>
    <s v="#AppleDesign,#Innovation"/>
    <n v="5419"/>
    <n v="1150"/>
    <n v="656"/>
    <n v="1990"/>
    <n v="410"/>
    <n v="158154"/>
    <x v="2"/>
    <n v="7225"/>
  </r>
  <r>
    <s v="A59"/>
    <x v="0"/>
    <d v="2024-06-22T00:00:00"/>
    <s v="Image"/>
    <s v="#AppleWatch,#Health"/>
    <n v="16430"/>
    <n v="488"/>
    <n v="514"/>
    <n v="1436"/>
    <n v="30059"/>
    <n v="223305"/>
    <x v="3"/>
    <n v="17432"/>
  </r>
  <r>
    <s v="A60"/>
    <x v="2"/>
    <d v="2025-01-28T00:00:00"/>
    <s v="Tweet"/>
    <s v="#AppleWatch,#Health"/>
    <n v="9239"/>
    <n v="1477"/>
    <n v="631"/>
    <n v="1556"/>
    <n v="11580"/>
    <n v="84738"/>
    <x v="2"/>
    <n v="11347"/>
  </r>
  <r>
    <s v="A61"/>
    <x v="0"/>
    <d v="2024-09-05T00:00:00"/>
    <s v="Carousel"/>
    <s v="#MacBookProM3"/>
    <n v="16489"/>
    <n v="395"/>
    <n v="350"/>
    <n v="2364"/>
    <n v="43239"/>
    <n v="73397"/>
    <x v="4"/>
    <n v="17234"/>
  </r>
  <r>
    <s v="A62"/>
    <x v="0"/>
    <d v="2025-09-20T00:00:00"/>
    <s v="Image"/>
    <s v="#AppleEvent,#iPhone16"/>
    <n v="18633"/>
    <n v="797"/>
    <n v="303"/>
    <n v="659"/>
    <n v="7"/>
    <n v="122189"/>
    <x v="1"/>
    <n v="19733"/>
  </r>
  <r>
    <s v="A63"/>
    <x v="2"/>
    <d v="2024-07-31T00:00:00"/>
    <s v="Image"/>
    <s v="#AppleWatchUltra2,#HealthTech"/>
    <n v="12357"/>
    <n v="716"/>
    <n v="599"/>
    <n v="999"/>
    <n v="89591"/>
    <n v="116367"/>
    <x v="0"/>
    <n v="13672"/>
  </r>
  <r>
    <s v="A64"/>
    <x v="2"/>
    <d v="2024-08-17T00:00:00"/>
    <s v="Video"/>
    <s v="#ShotOniPhone"/>
    <n v="19154"/>
    <n v="1064"/>
    <n v="650"/>
    <n v="747"/>
    <n v="42667"/>
    <n v="242332"/>
    <x v="2"/>
    <n v="20868"/>
  </r>
  <r>
    <s v="A65"/>
    <x v="0"/>
    <d v="2025-03-28T00:00:00"/>
    <s v="Tweet"/>
    <s v="#AppleWatchUltra2,#HealthTech"/>
    <n v="6363"/>
    <n v="1341"/>
    <n v="222"/>
    <n v="2712"/>
    <n v="19987"/>
    <n v="160585"/>
    <x v="2"/>
    <n v="7926"/>
  </r>
  <r>
    <s v="A66"/>
    <x v="3"/>
    <d v="2024-07-26T00:00:00"/>
    <s v="Tweet"/>
    <s v="#AppleWatch,#Health"/>
    <n v="12176"/>
    <n v="1005"/>
    <n v="862"/>
    <n v="974"/>
    <n v="2285"/>
    <n v="116619"/>
    <x v="3"/>
    <n v="14043"/>
  </r>
  <r>
    <s v="A67"/>
    <x v="1"/>
    <d v="2025-03-29T00:00:00"/>
    <s v="Video"/>
    <s v="#AppleWatch,#Health"/>
    <n v="19461"/>
    <n v="1382"/>
    <n v="445"/>
    <n v="1307"/>
    <n v="84691"/>
    <n v="151453"/>
    <x v="3"/>
    <n v="21288"/>
  </r>
  <r>
    <s v="A68"/>
    <x v="2"/>
    <d v="2024-12-08T00:00:00"/>
    <s v="Video"/>
    <s v="#MacBookAirM3,#AppleInnovation"/>
    <n v="10427"/>
    <n v="1014"/>
    <n v="166"/>
    <n v="1649"/>
    <n v="15145"/>
    <n v="59816"/>
    <x v="2"/>
    <n v="11607"/>
  </r>
  <r>
    <s v="A69"/>
    <x v="1"/>
    <d v="2025-03-08T00:00:00"/>
    <s v="Tweet"/>
    <s v="#AppleWatch,#Health"/>
    <n v="10580"/>
    <n v="427"/>
    <n v="790"/>
    <n v="2814"/>
    <n v="24916"/>
    <n v="213312"/>
    <x v="4"/>
    <n v="11797"/>
  </r>
  <r>
    <s v="A70"/>
    <x v="3"/>
    <d v="2025-04-02T00:00:00"/>
    <s v="Tweet"/>
    <s v="#iPhone16Launch,#AppleEvent"/>
    <n v="6858"/>
    <n v="415"/>
    <n v="366"/>
    <n v="2761"/>
    <n v="2988"/>
    <n v="177348"/>
    <x v="0"/>
    <n v="7639"/>
  </r>
  <r>
    <s v="A71"/>
    <x v="3"/>
    <d v="2024-09-02T00:00:00"/>
    <s v="Carousel"/>
    <s v="#AppleEvent,#iPadPro"/>
    <n v="12040"/>
    <n v="1147"/>
    <n v="210"/>
    <n v="885"/>
    <n v="30360"/>
    <n v="119530"/>
    <x v="3"/>
    <n v="13397"/>
  </r>
  <r>
    <s v="A72"/>
    <x v="3"/>
    <d v="2025-03-03T00:00:00"/>
    <s v="Carousel"/>
    <s v="#AppleEvent,#iPhone16"/>
    <n v="24928"/>
    <n v="214"/>
    <n v="765"/>
    <n v="1556"/>
    <n v="5239"/>
    <n v="194571"/>
    <x v="4"/>
    <n v="25907"/>
  </r>
  <r>
    <s v="A73"/>
    <x v="2"/>
    <d v="2025-09-21T00:00:00"/>
    <s v="Video"/>
    <s v="#AppleWatchUltra2,#HealthTech"/>
    <n v="23103"/>
    <n v="1380"/>
    <n v="191"/>
    <n v="1547"/>
    <n v="77798"/>
    <n v="148856"/>
    <x v="1"/>
    <n v="24674"/>
  </r>
  <r>
    <s v="A74"/>
    <x v="3"/>
    <d v="2024-10-28T00:00:00"/>
    <s v="Carousel"/>
    <s v="#AppleEvent,#iPadPro"/>
    <n v="21198"/>
    <n v="1484"/>
    <n v="174"/>
    <n v="1293"/>
    <n v="16330"/>
    <n v="111635"/>
    <x v="3"/>
    <n v="22856"/>
  </r>
  <r>
    <s v="A75"/>
    <x v="2"/>
    <d v="2024-08-01T00:00:00"/>
    <s v="Image"/>
    <s v="#AppleDesign,#Innovation"/>
    <n v="21758"/>
    <n v="1380"/>
    <n v="188"/>
    <n v="1735"/>
    <n v="20998"/>
    <n v="147803"/>
    <x v="4"/>
    <n v="23326"/>
  </r>
  <r>
    <s v="A76"/>
    <x v="3"/>
    <d v="2024-11-07T00:00:00"/>
    <s v="Carousel"/>
    <s v="#ShotOniPhone"/>
    <n v="17254"/>
    <n v="246"/>
    <n v="952"/>
    <n v="871"/>
    <n v="14957"/>
    <n v="75946"/>
    <x v="4"/>
    <n v="18452"/>
  </r>
  <r>
    <s v="A77"/>
    <x v="1"/>
    <d v="2025-03-04T00:00:00"/>
    <s v="Carousel"/>
    <s v="#iPhone16Launch,#AppleEvent"/>
    <n v="13470"/>
    <n v="523"/>
    <n v="280"/>
    <n v="2682"/>
    <n v="8538"/>
    <n v="95204"/>
    <x v="0"/>
    <n v="14273"/>
  </r>
  <r>
    <s v="A78"/>
    <x v="1"/>
    <d v="2024-06-17T00:00:00"/>
    <s v="Image"/>
    <s v="#AppleMusic,#AppleLifestyle"/>
    <n v="3252"/>
    <n v="1043"/>
    <n v="647"/>
    <n v="1545"/>
    <n v="18859"/>
    <n v="222958"/>
    <x v="0"/>
    <n v="4942"/>
  </r>
  <r>
    <s v="A79"/>
    <x v="0"/>
    <d v="2025-09-22T00:00:00"/>
    <s v="Video"/>
    <s v="#Sustainability,#AppleEarth"/>
    <n v="8996"/>
    <n v="329"/>
    <n v="378"/>
    <n v="2384"/>
    <n v="39404"/>
    <n v="242724"/>
    <x v="1"/>
    <n v="9703"/>
  </r>
  <r>
    <s v="A80"/>
    <x v="1"/>
    <d v="2024-06-13T00:00:00"/>
    <s v="Image"/>
    <s v="#AppleWatchUltra2,#HealthTech"/>
    <n v="14173"/>
    <n v="294"/>
    <n v="257"/>
    <n v="1288"/>
    <n v="39466"/>
    <n v="55563"/>
    <x v="4"/>
    <n v="14724"/>
  </r>
  <r>
    <s v="A81"/>
    <x v="0"/>
    <d v="2024-10-19T00:00:00"/>
    <s v="Carousel"/>
    <s v="#AppleEvent,#iPadPro"/>
    <n v="6673"/>
    <n v="826"/>
    <n v="321"/>
    <n v="577"/>
    <n v="19262"/>
    <n v="132324"/>
    <x v="4"/>
    <n v="7820"/>
  </r>
  <r>
    <s v="A82"/>
    <x v="1"/>
    <d v="2024-07-24T00:00:00"/>
    <s v="Video"/>
    <s v="#AppleMusic,#AppleLifestyle"/>
    <n v="22914"/>
    <n v="954"/>
    <n v="584"/>
    <n v="1519"/>
    <n v="13637"/>
    <n v="49847"/>
    <x v="0"/>
    <n v="24452"/>
  </r>
  <r>
    <s v="A83"/>
    <x v="2"/>
    <d v="2024-10-15T00:00:00"/>
    <s v="Carousel"/>
    <s v="#ShotOniPhone"/>
    <n v="17781"/>
    <n v="993"/>
    <n v="627"/>
    <n v="2187"/>
    <n v="9609"/>
    <n v="66155"/>
    <x v="3"/>
    <n v="19401"/>
  </r>
  <r>
    <s v="A84"/>
    <x v="1"/>
    <d v="2024-12-09T00:00:00"/>
    <s v="Image"/>
    <s v="#MacBookAirM3,#AppleInnovation"/>
    <n v="15051"/>
    <n v="268"/>
    <n v="251"/>
    <n v="783"/>
    <n v="34154"/>
    <n v="119671"/>
    <x v="3"/>
    <n v="15570"/>
  </r>
  <r>
    <s v="A85"/>
    <x v="0"/>
    <d v="2025-04-19T00:00:00"/>
    <s v="Image"/>
    <s v="#AppleMusic,#AppleLifestyle"/>
    <n v="8881"/>
    <n v="210"/>
    <n v="673"/>
    <n v="1565"/>
    <n v="24847"/>
    <n v="156891"/>
    <x v="2"/>
    <n v="9764"/>
  </r>
  <r>
    <s v="A86"/>
    <x v="0"/>
    <d v="2025-01-27T00:00:00"/>
    <s v="Carousel"/>
    <s v="#iPhone16Launch,#AppleEvent"/>
    <n v="8949"/>
    <n v="1477"/>
    <n v="424"/>
    <n v="1030"/>
    <n v="58052"/>
    <n v="123310"/>
    <x v="0"/>
    <n v="10850"/>
  </r>
  <r>
    <s v="A87"/>
    <x v="3"/>
    <d v="2024-06-06T00:00:00"/>
    <s v="Tweet"/>
    <s v="#iPhone16Launch,#AppleEvent"/>
    <n v="11521"/>
    <n v="1071"/>
    <n v="762"/>
    <n v="2539"/>
    <n v="12701"/>
    <n v="238350"/>
    <x v="2"/>
    <n v="13354"/>
  </r>
  <r>
    <s v="A88"/>
    <x v="2"/>
    <d v="2024-07-07T00:00:00"/>
    <s v="Tweet"/>
    <s v="#MacBookAirM3,#AppleInnovation"/>
    <n v="24625"/>
    <n v="749"/>
    <n v="193"/>
    <n v="1340"/>
    <n v="4890"/>
    <n v="189381"/>
    <x v="0"/>
    <n v="25567"/>
  </r>
  <r>
    <s v="A89"/>
    <x v="1"/>
    <d v="2025-09-23T00:00:00"/>
    <s v="Image"/>
    <s v="#Sustainability,#AppleEarth"/>
    <n v="10017"/>
    <n v="1357"/>
    <n v="966"/>
    <n v="2871"/>
    <n v="14800"/>
    <n v="171691"/>
    <x v="1"/>
    <n v="12340"/>
  </r>
  <r>
    <s v="A90"/>
    <x v="3"/>
    <d v="2024-06-03T00:00:00"/>
    <s v="Image"/>
    <s v="#AppleEvent,#iPhone16"/>
    <n v="8941"/>
    <n v="911"/>
    <n v="166"/>
    <n v="1217"/>
    <n v="68817"/>
    <n v="221180"/>
    <x v="4"/>
    <n v="10018"/>
  </r>
  <r>
    <s v="A91"/>
    <x v="1"/>
    <d v="2025-09-24T00:00:00"/>
    <s v="Tweet"/>
    <s v="#AppleMusic,#AppleLifestyle"/>
    <n v="12209"/>
    <n v="222"/>
    <n v="479"/>
    <n v="2748"/>
    <n v="24615"/>
    <n v="74707"/>
    <x v="1"/>
    <n v="12910"/>
  </r>
  <r>
    <s v="A92"/>
    <x v="1"/>
    <d v="2024-10-21T00:00:00"/>
    <s v="Tweet"/>
    <s v="#MacBookAirM3,#AppleInnovation"/>
    <n v="19715"/>
    <n v="1014"/>
    <n v="718"/>
    <n v="1185"/>
    <n v="37625"/>
    <n v="191409"/>
    <x v="0"/>
    <n v="21447"/>
  </r>
  <r>
    <s v="A93"/>
    <x v="3"/>
    <d v="2024-12-11T00:00:00"/>
    <s v="Carousel"/>
    <s v="#iPhone16Launch,#AppleEvent"/>
    <n v="22645"/>
    <n v="545"/>
    <n v="972"/>
    <n v="321"/>
    <n v="8396"/>
    <n v="121537"/>
    <x v="4"/>
    <n v="24162"/>
  </r>
  <r>
    <s v="A94"/>
    <x v="3"/>
    <d v="2024-11-07T00:00:00"/>
    <s v="Carousel"/>
    <s v="#iPhone16Launch,#AppleEvent"/>
    <n v="11550"/>
    <n v="501"/>
    <n v="646"/>
    <n v="773"/>
    <n v="17841"/>
    <n v="237576"/>
    <x v="3"/>
    <n v="12697"/>
  </r>
  <r>
    <s v="A95"/>
    <x v="3"/>
    <d v="2024-11-08T00:00:00"/>
    <s v="Tweet"/>
    <s v="#AppleEvent,#iPadPro"/>
    <n v="23499"/>
    <n v="562"/>
    <n v="964"/>
    <n v="2557"/>
    <n v="56890"/>
    <n v="218686"/>
    <x v="3"/>
    <n v="25025"/>
  </r>
  <r>
    <s v="A96"/>
    <x v="3"/>
    <d v="2024-09-10T00:00:00"/>
    <s v="Carousel"/>
    <s v="#AppleWatch,#Health"/>
    <n v="6637"/>
    <n v="595"/>
    <n v="161"/>
    <n v="2653"/>
    <n v="19334"/>
    <n v="131155"/>
    <x v="2"/>
    <n v="7393"/>
  </r>
  <r>
    <s v="A97"/>
    <x v="3"/>
    <d v="2024-08-13T00:00:00"/>
    <s v="Carousel"/>
    <s v="#Sustainability,#AppleEarth"/>
    <n v="6854"/>
    <n v="417"/>
    <n v="467"/>
    <n v="1003"/>
    <n v="61333"/>
    <n v="40281"/>
    <x v="0"/>
    <n v="7738"/>
  </r>
  <r>
    <s v="A98"/>
    <x v="1"/>
    <d v="2024-06-10T00:00:00"/>
    <s v="Video"/>
    <s v="#AppleMusic,#AppleLifestyle"/>
    <n v="21561"/>
    <n v="340"/>
    <n v="741"/>
    <n v="986"/>
    <n v="24826"/>
    <n v="198492"/>
    <x v="0"/>
    <n v="22642"/>
  </r>
  <r>
    <s v="A99"/>
    <x v="3"/>
    <d v="2024-07-02T00:00:00"/>
    <s v="Carousel"/>
    <s v="#AppleMusic,#AppleLifestyle"/>
    <n v="12320"/>
    <n v="1157"/>
    <n v="365"/>
    <n v="584"/>
    <n v="66634"/>
    <n v="210102"/>
    <x v="3"/>
    <n v="13842"/>
  </r>
  <r>
    <s v="A100"/>
    <x v="2"/>
    <d v="2025-09-25T00:00:00"/>
    <s v="Image"/>
    <s v="#ShotOniPhone"/>
    <n v="20564"/>
    <n v="1433"/>
    <n v="488"/>
    <n v="1015"/>
    <n v="24333"/>
    <n v="172130"/>
    <x v="1"/>
    <n v="22485"/>
  </r>
  <r>
    <s v="A101"/>
    <x v="0"/>
    <d v="2024-10-18T00:00:00"/>
    <s v="Carousel"/>
    <s v="#MacBookAirM3,#AppleInnovation"/>
    <n v="6892"/>
    <n v="1184"/>
    <n v="925"/>
    <n v="1062"/>
    <n v="75008"/>
    <n v="116260"/>
    <x v="4"/>
    <n v="9001"/>
  </r>
  <r>
    <s v="A102"/>
    <x v="3"/>
    <d v="2025-09-26T00:00:00"/>
    <s v="Carousel"/>
    <s v="#ShotOniPhone"/>
    <n v="9043"/>
    <n v="1192"/>
    <n v="810"/>
    <n v="1550"/>
    <n v="5221"/>
    <n v="199476"/>
    <x v="1"/>
    <n v="11045"/>
  </r>
  <r>
    <s v="A103"/>
    <x v="3"/>
    <d v="2025-09-27T00:00:00"/>
    <s v="Tweet"/>
    <s v="#MacBookAirM3,#AppleInnovation"/>
    <n v="18521"/>
    <n v="1027"/>
    <n v="230"/>
    <n v="1247"/>
    <n v="39588"/>
    <n v="200928"/>
    <x v="1"/>
    <n v="19778"/>
  </r>
  <r>
    <s v="A104"/>
    <x v="1"/>
    <d v="2025-03-23T00:00:00"/>
    <s v="Image"/>
    <s v="#AppleDesign,#Innovation"/>
    <n v="24711"/>
    <n v="882"/>
    <n v="876"/>
    <n v="2728"/>
    <n v="32015"/>
    <n v="180272"/>
    <x v="3"/>
    <n v="26469"/>
  </r>
  <r>
    <s v="A105"/>
    <x v="3"/>
    <d v="2024-06-14T00:00:00"/>
    <s v="Carousel"/>
    <s v="#iPhone16Launch,#AppleEvent"/>
    <n v="21856"/>
    <n v="1203"/>
    <n v="634"/>
    <n v="2807"/>
    <n v="3647"/>
    <n v="104178"/>
    <x v="3"/>
    <n v="23693"/>
  </r>
  <r>
    <s v="A106"/>
    <x v="3"/>
    <d v="2025-02-04T00:00:00"/>
    <s v="Carousel"/>
    <s v="#AppleWatch,#Health"/>
    <n v="23833"/>
    <n v="555"/>
    <n v="523"/>
    <n v="1330"/>
    <n v="69141"/>
    <n v="73997"/>
    <x v="3"/>
    <n v="24911"/>
  </r>
  <r>
    <s v="A107"/>
    <x v="3"/>
    <d v="2024-06-21T00:00:00"/>
    <s v="Video"/>
    <s v="#AppleEvent,#iPadPro"/>
    <n v="21216"/>
    <n v="1207"/>
    <n v="859"/>
    <n v="328"/>
    <n v="91296"/>
    <n v="196683"/>
    <x v="2"/>
    <n v="23282"/>
  </r>
  <r>
    <s v="A108"/>
    <x v="1"/>
    <d v="2025-09-28T00:00:00"/>
    <s v="Carousel"/>
    <s v="#AppleWatch,#Health"/>
    <n v="21963"/>
    <n v="1356"/>
    <n v="349"/>
    <n v="1206"/>
    <n v="51755"/>
    <n v="159273"/>
    <x v="1"/>
    <n v="23668"/>
  </r>
  <r>
    <s v="A109"/>
    <x v="3"/>
    <d v="2024-08-08T00:00:00"/>
    <s v="Carousel"/>
    <s v="#AppleWatch,#Health"/>
    <n v="24355"/>
    <n v="1087"/>
    <n v="686"/>
    <n v="2426"/>
    <n v="24963"/>
    <n v="212307"/>
    <x v="0"/>
    <n v="26128"/>
  </r>
  <r>
    <s v="A110"/>
    <x v="0"/>
    <d v="2024-07-29T00:00:00"/>
    <s v="Video"/>
    <s v="#AppleWatch,#Health"/>
    <n v="6164"/>
    <n v="326"/>
    <n v="615"/>
    <n v="2806"/>
    <n v="38579"/>
    <n v="206129"/>
    <x v="4"/>
    <n v="7105"/>
  </r>
  <r>
    <s v="A111"/>
    <x v="1"/>
    <d v="2024-11-23T00:00:00"/>
    <s v="Tweet"/>
    <s v="#ShotOniPhone"/>
    <n v="9941"/>
    <n v="1329"/>
    <n v="238"/>
    <n v="869"/>
    <n v="40281"/>
    <n v="172311"/>
    <x v="2"/>
    <n v="11508"/>
  </r>
  <r>
    <s v="A112"/>
    <x v="0"/>
    <d v="2024-10-05T00:00:00"/>
    <s v="Carousel"/>
    <s v="#MacBookAirM3,#AppleInnovation"/>
    <n v="16388"/>
    <n v="1208"/>
    <n v="417"/>
    <n v="2306"/>
    <n v="16865"/>
    <n v="236733"/>
    <x v="0"/>
    <n v="18013"/>
  </r>
  <r>
    <s v="A113"/>
    <x v="1"/>
    <d v="2025-09-29T00:00:00"/>
    <s v="Video"/>
    <s v="#iPhonePhotography,#ShotOniPhone"/>
    <n v="7569"/>
    <n v="803"/>
    <n v="804"/>
    <n v="1753"/>
    <n v="43582"/>
    <n v="166945"/>
    <x v="1"/>
    <n v="9176"/>
  </r>
  <r>
    <s v="A114"/>
    <x v="3"/>
    <d v="2024-11-14T00:00:00"/>
    <s v="Image"/>
    <s v="#AppleDesign,#Innovation"/>
    <n v="6300"/>
    <n v="1213"/>
    <n v="720"/>
    <n v="1037"/>
    <n v="39569"/>
    <n v="85272"/>
    <x v="3"/>
    <n v="8233"/>
  </r>
  <r>
    <s v="A115"/>
    <x v="0"/>
    <d v="2025-09-30T00:00:00"/>
    <s v="Tweet"/>
    <s v="#AppleWatchUltra2,#HealthTech"/>
    <n v="8269"/>
    <n v="250"/>
    <n v="638"/>
    <n v="815"/>
    <n v="41991"/>
    <n v="129393"/>
    <x v="1"/>
    <n v="9157"/>
  </r>
  <r>
    <s v="A116"/>
    <x v="1"/>
    <d v="2025-03-18T00:00:00"/>
    <s v="Image"/>
    <s v="#AppleWatch,#Health"/>
    <n v="5818"/>
    <n v="1252"/>
    <n v="687"/>
    <n v="2300"/>
    <n v="25081"/>
    <n v="101212"/>
    <x v="4"/>
    <n v="7757"/>
  </r>
  <r>
    <s v="A117"/>
    <x v="2"/>
    <d v="2024-11-04T00:00:00"/>
    <s v="Image"/>
    <s v="#AppleEvent,#iPhone16"/>
    <n v="14015"/>
    <n v="978"/>
    <n v="196"/>
    <n v="2744"/>
    <n v="20190"/>
    <n v="186470"/>
    <x v="2"/>
    <n v="15189"/>
  </r>
  <r>
    <s v="A118"/>
    <x v="3"/>
    <d v="2024-11-04T00:00:00"/>
    <s v="Video"/>
    <s v="#ShotOniPhone"/>
    <n v="14234"/>
    <n v="1013"/>
    <n v="437"/>
    <n v="338"/>
    <n v="67754"/>
    <n v="160030"/>
    <x v="2"/>
    <n v="15684"/>
  </r>
  <r>
    <s v="A119"/>
    <x v="1"/>
    <d v="2025-02-07T00:00:00"/>
    <s v="Carousel"/>
    <s v="#Sustainability,#AppleEarth"/>
    <n v="20290"/>
    <n v="619"/>
    <n v="927"/>
    <n v="1186"/>
    <n v="8924"/>
    <n v="96503"/>
    <x v="4"/>
    <n v="21836"/>
  </r>
  <r>
    <s v="A120"/>
    <x v="2"/>
    <d v="2024-10-21T00:00:00"/>
    <s v="Video"/>
    <s v="#AppleEvent,#iPadPro"/>
    <n v="8254"/>
    <n v="1405"/>
    <n v="165"/>
    <n v="2504"/>
    <n v="8081"/>
    <n v="177710"/>
    <x v="0"/>
    <n v="9824"/>
  </r>
  <r>
    <s v="A121"/>
    <x v="1"/>
    <d v="2024-07-29T00:00:00"/>
    <s v="Video"/>
    <s v="#AppleWatchUltra2,#HealthTech"/>
    <n v="19144"/>
    <n v="1182"/>
    <n v="860"/>
    <n v="1398"/>
    <n v="4185"/>
    <n v="46570"/>
    <x v="0"/>
    <n v="21186"/>
  </r>
  <r>
    <s v="A122"/>
    <x v="2"/>
    <d v="2024-10-02T00:00:00"/>
    <s v="Video"/>
    <s v="#iPhonePhotography,#ShotOniPhone"/>
    <n v="9350"/>
    <n v="1024"/>
    <n v="550"/>
    <n v="2123"/>
    <n v="53916"/>
    <n v="108785"/>
    <x v="2"/>
    <n v="10924"/>
  </r>
  <r>
    <s v="A123"/>
    <x v="3"/>
    <d v="2024-06-14T00:00:00"/>
    <s v="Video"/>
    <s v="#AppleEvent,#iPhone16"/>
    <n v="17183"/>
    <n v="1224"/>
    <n v="943"/>
    <n v="2010"/>
    <n v="21481"/>
    <n v="49110"/>
    <x v="2"/>
    <n v="19350"/>
  </r>
  <r>
    <s v="A124"/>
    <x v="0"/>
    <d v="2025-04-06T00:00:00"/>
    <s v="Tweet"/>
    <s v="#iPhonePhotography,#ShotOniPhone"/>
    <n v="8238"/>
    <n v="766"/>
    <n v="235"/>
    <n v="1273"/>
    <n v="4706"/>
    <n v="119141"/>
    <x v="3"/>
    <n v="9239"/>
  </r>
  <r>
    <s v="A125"/>
    <x v="2"/>
    <d v="2024-09-08T00:00:00"/>
    <s v="Carousel"/>
    <s v="#AppleWatchUltra2,#HealthTech"/>
    <n v="8090"/>
    <n v="570"/>
    <n v="399"/>
    <n v="1862"/>
    <n v="34088"/>
    <n v="52115"/>
    <x v="0"/>
    <n v="9059"/>
  </r>
  <r>
    <s v="A126"/>
    <x v="1"/>
    <d v="2025-03-28T00:00:00"/>
    <s v="Image"/>
    <s v="#AppleWatch,#Health"/>
    <n v="13637"/>
    <n v="1135"/>
    <n v="540"/>
    <n v="1288"/>
    <n v="45183"/>
    <n v="79062"/>
    <x v="4"/>
    <n v="15312"/>
  </r>
  <r>
    <s v="A127"/>
    <x v="3"/>
    <d v="2025-01-27T00:00:00"/>
    <s v="Image"/>
    <s v="#AppleEvent,#iPhone16"/>
    <n v="24415"/>
    <n v="860"/>
    <n v="931"/>
    <n v="320"/>
    <n v="65049"/>
    <n v="62911"/>
    <x v="0"/>
    <n v="26206"/>
  </r>
  <r>
    <s v="A128"/>
    <x v="2"/>
    <d v="2025-01-10T00:00:00"/>
    <s v="Carousel"/>
    <s v="#iPhonePhotography,#ShotOniPhone"/>
    <n v="14647"/>
    <n v="1168"/>
    <n v="484"/>
    <n v="2650"/>
    <n v="27217"/>
    <n v="144061"/>
    <x v="3"/>
    <n v="16299"/>
  </r>
  <r>
    <s v="A129"/>
    <x v="1"/>
    <d v="2024-07-21T00:00:00"/>
    <s v="Image"/>
    <s v="#AppleEvent,#iPadPro"/>
    <n v="11911"/>
    <n v="1360"/>
    <n v="778"/>
    <n v="1168"/>
    <n v="16483"/>
    <n v="72556"/>
    <x v="2"/>
    <n v="14049"/>
  </r>
  <r>
    <s v="A130"/>
    <x v="1"/>
    <d v="2024-09-29T00:00:00"/>
    <s v="Carousel"/>
    <s v="#MacBookAirM3,#AppleInnovation"/>
    <n v="10472"/>
    <n v="401"/>
    <n v="668"/>
    <n v="383"/>
    <n v="37571"/>
    <n v="249203"/>
    <x v="2"/>
    <n v="11541"/>
  </r>
  <r>
    <s v="A131"/>
    <x v="1"/>
    <d v="2024-10-21T00:00:00"/>
    <s v="Image"/>
    <s v="#iPhone16Launch,#AppleEvent"/>
    <n v="20271"/>
    <n v="512"/>
    <n v="286"/>
    <n v="1982"/>
    <n v="43225"/>
    <n v="168335"/>
    <x v="3"/>
    <n v="21069"/>
  </r>
  <r>
    <s v="A132"/>
    <x v="2"/>
    <d v="2025-03-04T00:00:00"/>
    <s v="Video"/>
    <s v="#MacBookAirM3,#AppleInnovation"/>
    <n v="5266"/>
    <n v="316"/>
    <n v="837"/>
    <n v="2276"/>
    <n v="20967"/>
    <n v="41969"/>
    <x v="4"/>
    <n v="6419"/>
  </r>
  <r>
    <s v="A133"/>
    <x v="2"/>
    <d v="2025-02-06T00:00:00"/>
    <s v="Image"/>
    <s v="#AppleWatchUltra2,#HealthTech"/>
    <n v="2666"/>
    <n v="1136"/>
    <n v="989"/>
    <n v="1710"/>
    <n v="36467"/>
    <n v="83753"/>
    <x v="2"/>
    <n v="4791"/>
  </r>
  <r>
    <s v="A134"/>
    <x v="2"/>
    <d v="2025-10-01T00:00:00"/>
    <s v="Carousel"/>
    <s v="#ShotOniPhone"/>
    <n v="6188"/>
    <n v="774"/>
    <n v="647"/>
    <n v="1830"/>
    <n v="55436"/>
    <n v="175542"/>
    <x v="1"/>
    <n v="7609"/>
  </r>
  <r>
    <s v="A135"/>
    <x v="0"/>
    <d v="2024-11-28T00:00:00"/>
    <s v="Carousel"/>
    <s v="#iPhone16Launch,#AppleEvent"/>
    <n v="19055"/>
    <n v="443"/>
    <n v="976"/>
    <n v="869"/>
    <n v="75437"/>
    <n v="161863"/>
    <x v="2"/>
    <n v="20474"/>
  </r>
  <r>
    <s v="A136"/>
    <x v="2"/>
    <d v="2025-10-02T00:00:00"/>
    <s v="Carousel"/>
    <s v="#AppleDesign,#Innovation"/>
    <n v="12161"/>
    <n v="736"/>
    <n v="876"/>
    <n v="1233"/>
    <n v="21337"/>
    <n v="50225"/>
    <x v="1"/>
    <n v="13773"/>
  </r>
  <r>
    <s v="A137"/>
    <x v="2"/>
    <d v="2024-07-31T00:00:00"/>
    <s v="Carousel"/>
    <s v="#AppleEvent,#iPadPro"/>
    <n v="13314"/>
    <n v="274"/>
    <n v="626"/>
    <n v="2280"/>
    <n v="14639"/>
    <n v="163008"/>
    <x v="3"/>
    <n v="14214"/>
  </r>
  <r>
    <s v="A138"/>
    <x v="2"/>
    <d v="2025-03-29T00:00:00"/>
    <s v="Carousel"/>
    <s v="#AppleDesign,#Innovation"/>
    <n v="23508"/>
    <n v="585"/>
    <n v="743"/>
    <n v="2155"/>
    <n v="3704"/>
    <n v="194268"/>
    <x v="3"/>
    <n v="24836"/>
  </r>
  <r>
    <s v="A139"/>
    <x v="0"/>
    <d v="2024-10-29T00:00:00"/>
    <s v="Tweet"/>
    <s v="#AppleEvent,#iPhone16"/>
    <n v="23969"/>
    <n v="1433"/>
    <n v="372"/>
    <n v="1092"/>
    <n v="32147"/>
    <n v="145823"/>
    <x v="2"/>
    <n v="25774"/>
  </r>
  <r>
    <s v="A140"/>
    <x v="2"/>
    <d v="2024-07-15T00:00:00"/>
    <s v="Tweet"/>
    <s v="#AppleMusic,#AppleLifestyle"/>
    <n v="14891"/>
    <n v="674"/>
    <n v="521"/>
    <n v="1091"/>
    <n v="18101"/>
    <n v="53669"/>
    <x v="0"/>
    <n v="16086"/>
  </r>
  <r>
    <s v="A141"/>
    <x v="1"/>
    <d v="2025-10-03T00:00:00"/>
    <s v="Image"/>
    <s v="#iPhone16Launch,#AppleEvent"/>
    <n v="6777"/>
    <n v="617"/>
    <n v="551"/>
    <n v="2109"/>
    <n v="18559"/>
    <n v="208452"/>
    <x v="1"/>
    <n v="7945"/>
  </r>
  <r>
    <s v="A142"/>
    <x v="2"/>
    <d v="2025-03-25T00:00:00"/>
    <s v="Carousel"/>
    <s v="#AppleDesign,#Innovation"/>
    <n v="5900"/>
    <n v="546"/>
    <n v="592"/>
    <n v="1594"/>
    <n v="38627"/>
    <n v="164398"/>
    <x v="4"/>
    <n v="7038"/>
  </r>
  <r>
    <s v="A143"/>
    <x v="1"/>
    <d v="2024-10-02T00:00:00"/>
    <s v="Image"/>
    <s v="#AppleDesign,#Innovation"/>
    <n v="15716"/>
    <n v="839"/>
    <n v="639"/>
    <n v="2839"/>
    <n v="349"/>
    <n v="150677"/>
    <x v="2"/>
    <n v="17194"/>
  </r>
  <r>
    <s v="A144"/>
    <x v="1"/>
    <d v="2024-10-28T00:00:00"/>
    <s v="Carousel"/>
    <s v="#iPhonePhotography,#ShotOniPhone"/>
    <n v="8981"/>
    <n v="1138"/>
    <n v="764"/>
    <n v="2555"/>
    <n v="92810"/>
    <n v="88320"/>
    <x v="4"/>
    <n v="10883"/>
  </r>
  <r>
    <s v="A145"/>
    <x v="1"/>
    <d v="2024-08-12T00:00:00"/>
    <s v="Carousel"/>
    <s v="#MacBookAirM3,#AppleInnovation"/>
    <n v="8376"/>
    <n v="1154"/>
    <n v="422"/>
    <n v="1907"/>
    <n v="36874"/>
    <n v="218486"/>
    <x v="2"/>
    <n v="9952"/>
  </r>
  <r>
    <s v="A146"/>
    <x v="0"/>
    <d v="2024-06-05T00:00:00"/>
    <s v="Tweet"/>
    <s v="#iPhonePhotography,#ShotOniPhone"/>
    <n v="18907"/>
    <n v="1075"/>
    <n v="675"/>
    <n v="1383"/>
    <n v="17875"/>
    <n v="186649"/>
    <x v="0"/>
    <n v="20657"/>
  </r>
  <r>
    <s v="A147"/>
    <x v="0"/>
    <d v="2024-10-21T00:00:00"/>
    <s v="Tweet"/>
    <s v="#iPhone16Launch,#AppleEvent"/>
    <n v="20777"/>
    <n v="962"/>
    <n v="308"/>
    <n v="2777"/>
    <n v="25529"/>
    <n v="165354"/>
    <x v="0"/>
    <n v="22047"/>
  </r>
  <r>
    <s v="A148"/>
    <x v="0"/>
    <d v="2025-04-15T00:00:00"/>
    <s v="Video"/>
    <s v="#iPhone16Launch,#AppleEvent"/>
    <n v="20977"/>
    <n v="1402"/>
    <n v="301"/>
    <n v="1284"/>
    <n v="24620"/>
    <n v="128009"/>
    <x v="0"/>
    <n v="22680"/>
  </r>
  <r>
    <s v="A149"/>
    <x v="2"/>
    <d v="2024-06-16T00:00:00"/>
    <s v="Tweet"/>
    <s v="#AppleWatchUltra2,#HealthTech"/>
    <n v="12160"/>
    <n v="1405"/>
    <n v="769"/>
    <n v="1980"/>
    <n v="33174"/>
    <n v="226481"/>
    <x v="0"/>
    <n v="14334"/>
  </r>
  <r>
    <s v="A150"/>
    <x v="1"/>
    <d v="2024-08-22T00:00:00"/>
    <s v="Video"/>
    <s v="#iPhonePhotography,#ShotOniPhone"/>
    <n v="16124"/>
    <n v="863"/>
    <n v="337"/>
    <n v="819"/>
    <n v="85788"/>
    <n v="68625"/>
    <x v="3"/>
    <n v="17324"/>
  </r>
  <r>
    <s v="A151"/>
    <x v="0"/>
    <d v="2024-07-26T00:00:00"/>
    <s v="Video"/>
    <s v="#MacBookProM3"/>
    <n v="18282"/>
    <n v="224"/>
    <n v="962"/>
    <n v="890"/>
    <n v="35105"/>
    <n v="64089"/>
    <x v="3"/>
    <n v="19468"/>
  </r>
  <r>
    <s v="A152"/>
    <x v="0"/>
    <d v="2025-10-04T00:00:00"/>
    <s v="Video"/>
    <s v="#Sustainability,#AppleEarth"/>
    <n v="12488"/>
    <n v="1403"/>
    <n v="247"/>
    <n v="1350"/>
    <n v="28370"/>
    <n v="76487"/>
    <x v="1"/>
    <n v="14138"/>
  </r>
  <r>
    <s v="A153"/>
    <x v="2"/>
    <d v="2025-01-01T00:00:00"/>
    <s v="Video"/>
    <s v="#MacBookAirM3,#AppleInnovation"/>
    <n v="24574"/>
    <n v="909"/>
    <n v="280"/>
    <n v="2009"/>
    <n v="6221"/>
    <n v="236910"/>
    <x v="4"/>
    <n v="25763"/>
  </r>
  <r>
    <s v="A154"/>
    <x v="0"/>
    <d v="2024-10-09T00:00:00"/>
    <s v="Video"/>
    <s v="#iPhone16Launch,#AppleEvent"/>
    <n v="7240"/>
    <n v="1384"/>
    <n v="954"/>
    <n v="2335"/>
    <n v="6757"/>
    <n v="150448"/>
    <x v="2"/>
    <n v="9578"/>
  </r>
  <r>
    <s v="A155"/>
    <x v="2"/>
    <d v="2024-12-21T00:00:00"/>
    <s v="Image"/>
    <s v="#AppleWatchUltra2,#HealthTech"/>
    <n v="12453"/>
    <n v="376"/>
    <n v="320"/>
    <n v="2546"/>
    <n v="22617"/>
    <n v="90138"/>
    <x v="2"/>
    <n v="13149"/>
  </r>
  <r>
    <s v="A156"/>
    <x v="3"/>
    <d v="2024-10-22T00:00:00"/>
    <s v="Tweet"/>
    <s v="#AppleMusic,#AppleLifestyle"/>
    <n v="12478"/>
    <n v="484"/>
    <n v="332"/>
    <n v="2734"/>
    <n v="43338"/>
    <n v="213895"/>
    <x v="3"/>
    <n v="13294"/>
  </r>
  <r>
    <s v="A157"/>
    <x v="0"/>
    <d v="2024-07-23T00:00:00"/>
    <s v="Video"/>
    <s v="#iPhonePhotography,#ShotOniPhone"/>
    <n v="24877"/>
    <n v="262"/>
    <n v="513"/>
    <n v="648"/>
    <n v="47544"/>
    <n v="208280"/>
    <x v="2"/>
    <n v="25652"/>
  </r>
  <r>
    <s v="A158"/>
    <x v="3"/>
    <d v="2024-08-11T00:00:00"/>
    <s v="Carousel"/>
    <s v="#MacBookAirM3,#AppleInnovation"/>
    <n v="14394"/>
    <n v="1202"/>
    <n v="188"/>
    <n v="1259"/>
    <n v="21925"/>
    <n v="94061"/>
    <x v="3"/>
    <n v="15784"/>
  </r>
  <r>
    <s v="A159"/>
    <x v="2"/>
    <d v="2025-10-05T00:00:00"/>
    <s v="Tweet"/>
    <s v="#AppleMusic,#AppleLifestyle"/>
    <n v="21262"/>
    <n v="861"/>
    <n v="676"/>
    <n v="2263"/>
    <n v="12085"/>
    <n v="201731"/>
    <x v="1"/>
    <n v="22799"/>
  </r>
  <r>
    <s v="A160"/>
    <x v="1"/>
    <d v="2024-08-24T00:00:00"/>
    <s v="Tweet"/>
    <s v="#iPhonePhotography,#ShotOniPhone"/>
    <n v="22527"/>
    <n v="865"/>
    <n v="646"/>
    <n v="992"/>
    <n v="18654"/>
    <n v="141376"/>
    <x v="4"/>
    <n v="24038"/>
  </r>
  <r>
    <s v="A161"/>
    <x v="0"/>
    <d v="2025-10-06T00:00:00"/>
    <s v="Video"/>
    <s v="#AppleDesign,#Innovation"/>
    <n v="22028"/>
    <n v="355"/>
    <n v="665"/>
    <n v="1859"/>
    <n v="50565"/>
    <n v="202962"/>
    <x v="1"/>
    <n v="23048"/>
  </r>
  <r>
    <s v="A162"/>
    <x v="2"/>
    <d v="2025-04-01T00:00:00"/>
    <s v="Image"/>
    <s v="#AppleMusic,#AppleLifestyle"/>
    <n v="6432"/>
    <n v="1272"/>
    <n v="498"/>
    <n v="677"/>
    <n v="47305"/>
    <n v="119134"/>
    <x v="0"/>
    <n v="8202"/>
  </r>
  <r>
    <s v="A163"/>
    <x v="1"/>
    <d v="2025-04-08T00:00:00"/>
    <s v="Video"/>
    <s v="#AppleWatchUltra2,#HealthTech"/>
    <n v="15568"/>
    <n v="1166"/>
    <n v="546"/>
    <n v="826"/>
    <n v="21836"/>
    <n v="87055"/>
    <x v="0"/>
    <n v="17280"/>
  </r>
  <r>
    <s v="A164"/>
    <x v="1"/>
    <d v="2025-02-27T00:00:00"/>
    <s v="Image"/>
    <s v="#MacBookAirM3,#AppleInnovation"/>
    <n v="16178"/>
    <n v="1048"/>
    <n v="871"/>
    <n v="2553"/>
    <n v="39025"/>
    <n v="59508"/>
    <x v="0"/>
    <n v="18097"/>
  </r>
  <r>
    <s v="A165"/>
    <x v="3"/>
    <d v="2025-10-07T00:00:00"/>
    <s v="Carousel"/>
    <s v="#AppleWatch,#Health"/>
    <n v="19660"/>
    <n v="1307"/>
    <n v="310"/>
    <n v="2802"/>
    <n v="22171"/>
    <n v="213359"/>
    <x v="1"/>
    <n v="21277"/>
  </r>
  <r>
    <s v="A166"/>
    <x v="2"/>
    <d v="2025-02-16T00:00:00"/>
    <s v="Tweet"/>
    <s v="#AppleEvent,#iPhone16"/>
    <n v="24195"/>
    <n v="888"/>
    <n v="165"/>
    <n v="1559"/>
    <n v="11596"/>
    <n v="249988"/>
    <x v="2"/>
    <n v="25248"/>
  </r>
  <r>
    <s v="A167"/>
    <x v="1"/>
    <d v="2024-11-28T00:00:00"/>
    <s v="Carousel"/>
    <s v="#AppleEvent,#iPhone16"/>
    <n v="2302"/>
    <n v="347"/>
    <n v="642"/>
    <n v="2175"/>
    <n v="56378"/>
    <n v="198056"/>
    <x v="4"/>
    <n v="3291"/>
  </r>
  <r>
    <s v="A168"/>
    <x v="0"/>
    <d v="2024-11-12T00:00:00"/>
    <s v="Image"/>
    <s v="#MacBookAirM3,#AppleInnovation"/>
    <n v="19022"/>
    <n v="541"/>
    <n v="575"/>
    <n v="2063"/>
    <n v="42743"/>
    <n v="150169"/>
    <x v="0"/>
    <n v="20138"/>
  </r>
  <r>
    <s v="A169"/>
    <x v="0"/>
    <d v="2024-12-03T00:00:00"/>
    <s v="Image"/>
    <s v="#AppleMusic,#AppleLifestyle"/>
    <n v="2055"/>
    <n v="675"/>
    <n v="257"/>
    <n v="820"/>
    <n v="33534"/>
    <n v="48125"/>
    <x v="0"/>
    <n v="2987"/>
  </r>
  <r>
    <s v="A170"/>
    <x v="3"/>
    <d v="2025-04-28T00:00:00"/>
    <s v="Carousel"/>
    <s v="#iPhonePhotography,#ShotOniPhone"/>
    <n v="15013"/>
    <n v="1286"/>
    <n v="599"/>
    <n v="2001"/>
    <n v="67839"/>
    <n v="76059"/>
    <x v="0"/>
    <n v="16898"/>
  </r>
  <r>
    <s v="A171"/>
    <x v="1"/>
    <d v="2024-12-31T00:00:00"/>
    <s v="Image"/>
    <s v="#AppleWatchUltra2,#HealthTech"/>
    <n v="10717"/>
    <n v="760"/>
    <n v="460"/>
    <n v="1316"/>
    <n v="18164"/>
    <n v="240641"/>
    <x v="4"/>
    <n v="11937"/>
  </r>
  <r>
    <s v="A172"/>
    <x v="2"/>
    <d v="2024-08-14T00:00:00"/>
    <s v="Carousel"/>
    <s v="#Sustainability,#AppleEarth"/>
    <n v="10150"/>
    <n v="526"/>
    <n v="888"/>
    <n v="1313"/>
    <n v="51605"/>
    <n v="143409"/>
    <x v="0"/>
    <n v="11564"/>
  </r>
  <r>
    <s v="A173"/>
    <x v="0"/>
    <d v="2024-12-05T00:00:00"/>
    <s v="Tweet"/>
    <s v="#AppleEvent,#iPhone16"/>
    <n v="4125"/>
    <n v="1364"/>
    <n v="319"/>
    <n v="2848"/>
    <n v="15379"/>
    <n v="188159"/>
    <x v="4"/>
    <n v="5808"/>
  </r>
  <r>
    <s v="A174"/>
    <x v="1"/>
    <d v="2024-06-22T00:00:00"/>
    <s v="Carousel"/>
    <s v="#AppleWatchUltra2,#HealthTech"/>
    <n v="13479"/>
    <n v="1189"/>
    <n v="695"/>
    <n v="416"/>
    <n v="30229"/>
    <n v="45704"/>
    <x v="0"/>
    <n v="15363"/>
  </r>
  <r>
    <s v="A175"/>
    <x v="1"/>
    <d v="2025-10-08T00:00:00"/>
    <s v="Tweet"/>
    <s v="#AppleEvent,#iPhone16"/>
    <n v="17745"/>
    <n v="414"/>
    <n v="563"/>
    <n v="2733"/>
    <n v="995"/>
    <n v="231648"/>
    <x v="1"/>
    <n v="18722"/>
  </r>
  <r>
    <s v="A176"/>
    <x v="3"/>
    <d v="2025-10-09T00:00:00"/>
    <s v="Carousel"/>
    <s v="#AppleDesign,#Innovation"/>
    <n v="18748"/>
    <n v="634"/>
    <n v="400"/>
    <n v="1667"/>
    <n v="75813"/>
    <n v="244456"/>
    <x v="1"/>
    <n v="19782"/>
  </r>
  <r>
    <s v="A177"/>
    <x v="0"/>
    <d v="2024-07-10T00:00:00"/>
    <s v="Image"/>
    <s v="#iPhonePhotography,#ShotOniPhone"/>
    <n v="8809"/>
    <n v="1151"/>
    <n v="908"/>
    <n v="883"/>
    <n v="42921"/>
    <n v="151279"/>
    <x v="4"/>
    <n v="10868"/>
  </r>
  <r>
    <s v="A178"/>
    <x v="0"/>
    <d v="2025-10-10T00:00:00"/>
    <s v="Carousel"/>
    <s v="#AppleDesign,#Innovation"/>
    <n v="6621"/>
    <n v="922"/>
    <n v="930"/>
    <n v="694"/>
    <n v="839"/>
    <n v="243532"/>
    <x v="1"/>
    <n v="8473"/>
  </r>
  <r>
    <s v="A179"/>
    <x v="2"/>
    <d v="2024-07-15T00:00:00"/>
    <s v="Image"/>
    <s v="#AppleEvent,#iPhone16"/>
    <n v="17034"/>
    <n v="231"/>
    <n v="290"/>
    <n v="1387"/>
    <n v="63550"/>
    <n v="198280"/>
    <x v="4"/>
    <n v="17555"/>
  </r>
  <r>
    <s v="A180"/>
    <x v="0"/>
    <d v="2025-10-11T00:00:00"/>
    <s v="Carousel"/>
    <s v="#AppleWatch,#Health"/>
    <n v="15623"/>
    <n v="869"/>
    <n v="423"/>
    <n v="371"/>
    <n v="47579"/>
    <n v="158516"/>
    <x v="1"/>
    <n v="16915"/>
  </r>
  <r>
    <s v="A181"/>
    <x v="2"/>
    <d v="2025-10-12T00:00:00"/>
    <s v="Carousel"/>
    <s v="#AppleWatch,#Health"/>
    <n v="7126"/>
    <n v="484"/>
    <n v="565"/>
    <n v="573"/>
    <n v="7389"/>
    <n v="237096"/>
    <x v="1"/>
    <n v="8175"/>
  </r>
  <r>
    <s v="A182"/>
    <x v="0"/>
    <d v="2024-07-31T00:00:00"/>
    <s v="Video"/>
    <s v="#AppleDesign,#Innovation"/>
    <n v="7122"/>
    <n v="628"/>
    <n v="757"/>
    <n v="2313"/>
    <n v="50924"/>
    <n v="210954"/>
    <x v="4"/>
    <n v="8507"/>
  </r>
  <r>
    <s v="A183"/>
    <x v="3"/>
    <d v="2024-12-17T00:00:00"/>
    <s v="Image"/>
    <s v="#AppleWatch,#Health"/>
    <n v="20030"/>
    <n v="485"/>
    <n v="888"/>
    <n v="1643"/>
    <n v="4322"/>
    <n v="196995"/>
    <x v="2"/>
    <n v="21403"/>
  </r>
  <r>
    <s v="A184"/>
    <x v="0"/>
    <d v="2025-10-13T00:00:00"/>
    <s v="Video"/>
    <s v="#AppleEvent,#iPhone16"/>
    <n v="19302"/>
    <n v="1367"/>
    <n v="188"/>
    <n v="637"/>
    <n v="31404"/>
    <n v="154044"/>
    <x v="1"/>
    <n v="20857"/>
  </r>
  <r>
    <s v="A185"/>
    <x v="2"/>
    <d v="2025-01-11T00:00:00"/>
    <s v="Image"/>
    <s v="#MacBookAirM3,#AppleInnovation"/>
    <n v="21181"/>
    <n v="1242"/>
    <n v="963"/>
    <n v="1689"/>
    <n v="49329"/>
    <n v="69165"/>
    <x v="0"/>
    <n v="23386"/>
  </r>
  <r>
    <s v="A186"/>
    <x v="2"/>
    <d v="2024-08-24T00:00:00"/>
    <s v="Video"/>
    <s v="#AppleDesign,#Innovation"/>
    <n v="24890"/>
    <n v="217"/>
    <n v="178"/>
    <n v="906"/>
    <n v="54826"/>
    <n v="107203"/>
    <x v="2"/>
    <n v="25285"/>
  </r>
  <r>
    <s v="A187"/>
    <x v="3"/>
    <d v="2024-12-22T00:00:00"/>
    <s v="Tweet"/>
    <s v="#Sustainability,#AppleEarth"/>
    <n v="7870"/>
    <n v="968"/>
    <n v="626"/>
    <n v="465"/>
    <n v="27184"/>
    <n v="44114"/>
    <x v="4"/>
    <n v="9464"/>
  </r>
  <r>
    <s v="A188"/>
    <x v="0"/>
    <d v="2024-06-06T00:00:00"/>
    <s v="Carousel"/>
    <s v="#Sustainability,#AppleEarth"/>
    <n v="3531"/>
    <n v="789"/>
    <n v="467"/>
    <n v="1867"/>
    <n v="40816"/>
    <n v="236037"/>
    <x v="2"/>
    <n v="4787"/>
  </r>
  <r>
    <s v="A189"/>
    <x v="0"/>
    <d v="2025-03-24T00:00:00"/>
    <s v="Image"/>
    <s v="#ShotOniPhone"/>
    <n v="10172"/>
    <n v="1398"/>
    <n v="394"/>
    <n v="2358"/>
    <n v="59610"/>
    <n v="76321"/>
    <x v="3"/>
    <n v="11964"/>
  </r>
  <r>
    <s v="A190"/>
    <x v="3"/>
    <d v="2024-10-04T00:00:00"/>
    <s v="Image"/>
    <s v="#AppleMusic,#AppleLifestyle"/>
    <n v="21729"/>
    <n v="1209"/>
    <n v="897"/>
    <n v="1624"/>
    <n v="38771"/>
    <n v="113297"/>
    <x v="3"/>
    <n v="23835"/>
  </r>
  <r>
    <s v="A191"/>
    <x v="0"/>
    <d v="2025-10-14T00:00:00"/>
    <s v="Carousel"/>
    <s v="#iPhonePhotography,#ShotOniPhone"/>
    <n v="9673"/>
    <n v="393"/>
    <n v="846"/>
    <n v="1028"/>
    <n v="55556"/>
    <n v="136652"/>
    <x v="1"/>
    <n v="10912"/>
  </r>
  <r>
    <s v="A192"/>
    <x v="0"/>
    <d v="2025-10-15T00:00:00"/>
    <s v="Image"/>
    <s v="#AppleWatch,#Health"/>
    <n v="8882"/>
    <n v="701"/>
    <n v="421"/>
    <n v="2343"/>
    <n v="13588"/>
    <n v="139304"/>
    <x v="1"/>
    <n v="10004"/>
  </r>
  <r>
    <s v="A193"/>
    <x v="2"/>
    <d v="2024-09-11T00:00:00"/>
    <s v="Image"/>
    <s v="#AppleWatch,#Health"/>
    <n v="3906"/>
    <n v="1187"/>
    <n v="589"/>
    <n v="401"/>
    <n v="52687"/>
    <n v="196498"/>
    <x v="0"/>
    <n v="5682"/>
  </r>
  <r>
    <s v="A194"/>
    <x v="0"/>
    <d v="2024-10-02T00:00:00"/>
    <s v="Video"/>
    <s v="#AppleMusic,#AppleLifestyle"/>
    <n v="5086"/>
    <n v="1336"/>
    <n v="897"/>
    <n v="1715"/>
    <n v="60592"/>
    <n v="57772"/>
    <x v="2"/>
    <n v="7319"/>
  </r>
  <r>
    <s v="A195"/>
    <x v="0"/>
    <d v="2024-08-15T00:00:00"/>
    <s v="Image"/>
    <s v="#iPhone16Launch,#AppleEvent"/>
    <n v="15503"/>
    <n v="313"/>
    <n v="388"/>
    <n v="1078"/>
    <n v="11500"/>
    <n v="143754"/>
    <x v="3"/>
    <n v="16204"/>
  </r>
  <r>
    <s v="A196"/>
    <x v="3"/>
    <d v="2025-09-18T00:00:00"/>
    <s v="Tweet"/>
    <s v="#MacBookProM3"/>
    <n v="10152"/>
    <n v="1445"/>
    <n v="526"/>
    <n v="513"/>
    <n v="18959"/>
    <n v="43712"/>
    <x v="1"/>
    <n v="12123"/>
  </r>
  <r>
    <s v="A197"/>
    <x v="3"/>
    <d v="2024-10-22T00:00:00"/>
    <s v="Tweet"/>
    <s v="#AppleDesign,#Innovation"/>
    <n v="7750"/>
    <n v="1146"/>
    <n v="415"/>
    <n v="1411"/>
    <n v="85339"/>
    <n v="172439"/>
    <x v="2"/>
    <n v="9311"/>
  </r>
  <r>
    <s v="A198"/>
    <x v="1"/>
    <d v="2025-09-19T00:00:00"/>
    <s v="Carousel"/>
    <s v="#AppleEvent,#iPadPro"/>
    <n v="14772"/>
    <n v="1030"/>
    <n v="508"/>
    <n v="1876"/>
    <n v="8882"/>
    <n v="155142"/>
    <x v="1"/>
    <n v="16310"/>
  </r>
  <r>
    <s v="A199"/>
    <x v="2"/>
    <d v="2025-09-20T00:00:00"/>
    <s v="Image"/>
    <s v="#AppleWatch,#Health"/>
    <n v="12267"/>
    <n v="1487"/>
    <n v="489"/>
    <n v="2748"/>
    <n v="34685"/>
    <n v="131736"/>
    <x v="1"/>
    <n v="14243"/>
  </r>
  <r>
    <s v="A200"/>
    <x v="0"/>
    <d v="2025-04-07T00:00:00"/>
    <s v="Carousel"/>
    <s v="#iPhonePhotography,#ShotOniPhone"/>
    <n v="3062"/>
    <n v="1124"/>
    <n v="538"/>
    <n v="2935"/>
    <n v="69749"/>
    <n v="91924"/>
    <x v="3"/>
    <n v="4724"/>
  </r>
  <r>
    <s v="A201"/>
    <x v="0"/>
    <d v="2025-01-15T00:00:00"/>
    <s v="Tweet"/>
    <s v="#ShotOniPhone"/>
    <n v="20360"/>
    <n v="254"/>
    <n v="726"/>
    <n v="1995"/>
    <n v="14280"/>
    <n v="43726"/>
    <x v="3"/>
    <n v="21340"/>
  </r>
  <r>
    <s v="A202"/>
    <x v="1"/>
    <d v="2025-09-21T00:00:00"/>
    <s v="Image"/>
    <s v="#Sustainability,#AppleEarth"/>
    <n v="19680"/>
    <n v="999"/>
    <n v="838"/>
    <n v="891"/>
    <n v="29576"/>
    <n v="129152"/>
    <x v="1"/>
    <n v="21517"/>
  </r>
  <r>
    <s v="A203"/>
    <x v="0"/>
    <d v="2024-11-21T00:00:00"/>
    <s v="Image"/>
    <s v="#AppleWatch,#Health"/>
    <n v="8229"/>
    <n v="977"/>
    <n v="152"/>
    <n v="1633"/>
    <n v="71447"/>
    <n v="67723"/>
    <x v="4"/>
    <n v="9358"/>
  </r>
  <r>
    <s v="A204"/>
    <x v="2"/>
    <d v="2025-09-22T00:00:00"/>
    <s v="Carousel"/>
    <s v="#ShotOniPhone"/>
    <n v="18509"/>
    <n v="361"/>
    <n v="578"/>
    <n v="1409"/>
    <n v="10569"/>
    <n v="166969"/>
    <x v="1"/>
    <n v="19448"/>
  </r>
  <r>
    <s v="A205"/>
    <x v="1"/>
    <d v="2025-09-23T00:00:00"/>
    <s v="Tweet"/>
    <s v="#AppleEvent,#iPhone16"/>
    <n v="17147"/>
    <n v="286"/>
    <n v="291"/>
    <n v="2439"/>
    <n v="45631"/>
    <n v="140494"/>
    <x v="1"/>
    <n v="17724"/>
  </r>
  <r>
    <s v="A206"/>
    <x v="2"/>
    <d v="2024-06-24T00:00:00"/>
    <s v="Image"/>
    <s v="#AppleEvent,#iPhone16"/>
    <n v="6632"/>
    <n v="254"/>
    <n v="525"/>
    <n v="1013"/>
    <n v="13838"/>
    <n v="180180"/>
    <x v="0"/>
    <n v="7411"/>
  </r>
  <r>
    <s v="A207"/>
    <x v="1"/>
    <d v="2024-12-29T00:00:00"/>
    <s v="Carousel"/>
    <s v="#MacBookProM3"/>
    <n v="8288"/>
    <n v="1401"/>
    <n v="819"/>
    <n v="1235"/>
    <n v="33446"/>
    <n v="248786"/>
    <x v="0"/>
    <n v="10508"/>
  </r>
  <r>
    <s v="A208"/>
    <x v="1"/>
    <d v="2024-06-24T00:00:00"/>
    <s v="Tweet"/>
    <s v="#MacBookAirM3,#AppleInnovation"/>
    <n v="5596"/>
    <n v="1231"/>
    <n v="473"/>
    <n v="2251"/>
    <n v="43705"/>
    <n v="75643"/>
    <x v="0"/>
    <n v="7300"/>
  </r>
  <r>
    <s v="A209"/>
    <x v="3"/>
    <d v="2025-03-19T00:00:00"/>
    <s v="Carousel"/>
    <s v="#AppleEvent,#iPadPro"/>
    <n v="13475"/>
    <n v="1032"/>
    <n v="295"/>
    <n v="541"/>
    <n v="43666"/>
    <n v="202396"/>
    <x v="4"/>
    <n v="14802"/>
  </r>
  <r>
    <s v="A210"/>
    <x v="2"/>
    <d v="2025-02-19T00:00:00"/>
    <s v="Video"/>
    <s v="#iPhone16Launch,#AppleEvent"/>
    <n v="8168"/>
    <n v="512"/>
    <n v="442"/>
    <n v="2343"/>
    <n v="2753"/>
    <n v="143896"/>
    <x v="4"/>
    <n v="9122"/>
  </r>
  <r>
    <s v="A211"/>
    <x v="0"/>
    <d v="2025-09-24T00:00:00"/>
    <s v="Image"/>
    <s v="#MacBookProM3"/>
    <n v="11795"/>
    <n v="958"/>
    <n v="814"/>
    <n v="301"/>
    <n v="12564"/>
    <n v="179999"/>
    <x v="1"/>
    <n v="13567"/>
  </r>
  <r>
    <s v="A212"/>
    <x v="0"/>
    <d v="2025-03-03T00:00:00"/>
    <s v="Video"/>
    <s v="#AppleWatchUltra2,#HealthTech"/>
    <n v="9561"/>
    <n v="642"/>
    <n v="581"/>
    <n v="2572"/>
    <n v="38552"/>
    <n v="133680"/>
    <x v="0"/>
    <n v="10784"/>
  </r>
  <r>
    <s v="A213"/>
    <x v="2"/>
    <d v="2025-05-01T00:00:00"/>
    <s v="Tweet"/>
    <s v="#iPhone16Launch,#AppleEvent"/>
    <n v="10258"/>
    <n v="527"/>
    <n v="854"/>
    <n v="2068"/>
    <n v="45632"/>
    <n v="136546"/>
    <x v="4"/>
    <n v="11639"/>
  </r>
  <r>
    <s v="A214"/>
    <x v="0"/>
    <d v="2024-12-23T00:00:00"/>
    <s v="Video"/>
    <s v="#AppleDesign,#Innovation"/>
    <n v="18616"/>
    <n v="1277"/>
    <n v="734"/>
    <n v="2249"/>
    <n v="3399"/>
    <n v="193515"/>
    <x v="3"/>
    <n v="20627"/>
  </r>
  <r>
    <s v="A215"/>
    <x v="0"/>
    <d v="2025-09-25T00:00:00"/>
    <s v="Video"/>
    <s v="#iPhonePhotography,#ShotOniPhone"/>
    <n v="8371"/>
    <n v="960"/>
    <n v="548"/>
    <n v="2936"/>
    <n v="82543"/>
    <n v="119973"/>
    <x v="1"/>
    <n v="9879"/>
  </r>
  <r>
    <s v="A216"/>
    <x v="2"/>
    <d v="2024-07-29T00:00:00"/>
    <s v="Tweet"/>
    <s v="#AppleWatchUltra2,#HealthTech"/>
    <n v="22590"/>
    <n v="1462"/>
    <n v="966"/>
    <n v="2463"/>
    <n v="29689"/>
    <n v="103449"/>
    <x v="2"/>
    <n v="25018"/>
  </r>
  <r>
    <s v="A217"/>
    <x v="1"/>
    <d v="2025-09-26T00:00:00"/>
    <s v="Carousel"/>
    <s v="#AppleWatchUltra2,#HealthTech"/>
    <n v="16369"/>
    <n v="1452"/>
    <n v="493"/>
    <n v="1217"/>
    <n v="91440"/>
    <n v="149834"/>
    <x v="1"/>
    <n v="18314"/>
  </r>
  <r>
    <s v="A218"/>
    <x v="2"/>
    <d v="2024-06-11T00:00:00"/>
    <s v="Video"/>
    <s v="#MacBookProM3"/>
    <n v="14910"/>
    <n v="778"/>
    <n v="289"/>
    <n v="2541"/>
    <n v="14309"/>
    <n v="247815"/>
    <x v="2"/>
    <n v="15977"/>
  </r>
  <r>
    <s v="A219"/>
    <x v="1"/>
    <d v="2025-01-28T00:00:00"/>
    <s v="Carousel"/>
    <s v="#AppleMusic,#AppleLifestyle"/>
    <n v="9943"/>
    <n v="1274"/>
    <n v="336"/>
    <n v="389"/>
    <n v="6145"/>
    <n v="231305"/>
    <x v="0"/>
    <n v="11553"/>
  </r>
  <r>
    <s v="A220"/>
    <x v="0"/>
    <d v="2024-06-02T00:00:00"/>
    <s v="Video"/>
    <s v="#MacBookAirM3,#AppleInnovation"/>
    <n v="14199"/>
    <n v="1206"/>
    <n v="954"/>
    <n v="2009"/>
    <n v="8"/>
    <n v="65537"/>
    <x v="2"/>
    <n v="16359"/>
  </r>
  <r>
    <s v="A221"/>
    <x v="0"/>
    <d v="2025-03-23T00:00:00"/>
    <s v="Carousel"/>
    <s v="#AppleMusic,#AppleLifestyle"/>
    <n v="17728"/>
    <n v="1487"/>
    <n v="210"/>
    <n v="2469"/>
    <n v="30565"/>
    <n v="117576"/>
    <x v="0"/>
    <n v="19425"/>
  </r>
  <r>
    <s v="A222"/>
    <x v="0"/>
    <d v="2024-10-08T00:00:00"/>
    <s v="Tweet"/>
    <s v="#MacBookProM3"/>
    <n v="8738"/>
    <n v="295"/>
    <n v="529"/>
    <n v="442"/>
    <n v="25286"/>
    <n v="147522"/>
    <x v="3"/>
    <n v="9562"/>
  </r>
  <r>
    <s v="A223"/>
    <x v="3"/>
    <d v="2024-11-12T00:00:00"/>
    <s v="Video"/>
    <s v="#AppleDesign,#Innovation"/>
    <n v="17913"/>
    <n v="1311"/>
    <n v="859"/>
    <n v="405"/>
    <n v="59842"/>
    <n v="62612"/>
    <x v="2"/>
    <n v="20083"/>
  </r>
  <r>
    <s v="A224"/>
    <x v="1"/>
    <d v="2025-09-07T00:00:00"/>
    <s v="Tweet"/>
    <s v="#Sustainability,#AppleEarth"/>
    <n v="4472"/>
    <n v="1301"/>
    <n v="956"/>
    <n v="1186"/>
    <n v="3363"/>
    <n v="46471"/>
    <x v="1"/>
    <n v="6729"/>
  </r>
  <r>
    <s v="A225"/>
    <x v="3"/>
    <d v="2024-06-20T00:00:00"/>
    <s v="Video"/>
    <s v="#AppleWatch,#Health"/>
    <n v="21123"/>
    <n v="1343"/>
    <n v="589"/>
    <n v="727"/>
    <n v="87833"/>
    <n v="206703"/>
    <x v="0"/>
    <n v="23055"/>
  </r>
  <r>
    <s v="A226"/>
    <x v="3"/>
    <d v="2025-09-08T00:00:00"/>
    <s v="Tweet"/>
    <s v="#AppleWatch,#Health"/>
    <n v="23785"/>
    <n v="1013"/>
    <n v="468"/>
    <n v="1628"/>
    <n v="8272"/>
    <n v="71348"/>
    <x v="1"/>
    <n v="25266"/>
  </r>
  <r>
    <s v="A227"/>
    <x v="2"/>
    <d v="2024-06-12T00:00:00"/>
    <s v="Tweet"/>
    <s v="#MacBookAirM3,#AppleInnovation"/>
    <n v="17679"/>
    <n v="690"/>
    <n v="451"/>
    <n v="2195"/>
    <n v="4390"/>
    <n v="235804"/>
    <x v="4"/>
    <n v="18820"/>
  </r>
  <r>
    <s v="A228"/>
    <x v="3"/>
    <d v="2024-07-01T00:00:00"/>
    <s v="Video"/>
    <s v="#AppleDesign,#Innovation"/>
    <n v="3761"/>
    <n v="651"/>
    <n v="493"/>
    <n v="2294"/>
    <n v="71696"/>
    <n v="41177"/>
    <x v="0"/>
    <n v="4905"/>
  </r>
  <r>
    <s v="A229"/>
    <x v="2"/>
    <d v="2024-07-03T00:00:00"/>
    <s v="Video"/>
    <s v="#MacBookAirM3,#AppleInnovation"/>
    <n v="12167"/>
    <n v="364"/>
    <n v="160"/>
    <n v="616"/>
    <n v="42228"/>
    <n v="175832"/>
    <x v="2"/>
    <n v="12691"/>
  </r>
  <r>
    <s v="A230"/>
    <x v="2"/>
    <d v="2024-07-15T00:00:00"/>
    <s v="Video"/>
    <s v="#ShotOniPhone"/>
    <n v="12554"/>
    <n v="381"/>
    <n v="211"/>
    <n v="2286"/>
    <n v="50567"/>
    <n v="72779"/>
    <x v="0"/>
    <n v="13146"/>
  </r>
  <r>
    <s v="A231"/>
    <x v="3"/>
    <d v="2025-09-09T00:00:00"/>
    <s v="Image"/>
    <s v="#AppleMusic,#AppleLifestyle"/>
    <n v="19260"/>
    <n v="668"/>
    <n v="994"/>
    <n v="934"/>
    <n v="20509"/>
    <n v="61636"/>
    <x v="1"/>
    <n v="20922"/>
  </r>
  <r>
    <s v="A232"/>
    <x v="1"/>
    <d v="2025-04-29T00:00:00"/>
    <s v="Carousel"/>
    <s v="#AppleWatch,#Health"/>
    <n v="16277"/>
    <n v="1109"/>
    <n v="375"/>
    <n v="2225"/>
    <n v="1044"/>
    <n v="121889"/>
    <x v="3"/>
    <n v="17761"/>
  </r>
  <r>
    <s v="A233"/>
    <x v="1"/>
    <d v="2025-03-08T00:00:00"/>
    <s v="Image"/>
    <s v="#AppleWatchUltra2,#HealthTech"/>
    <n v="5812"/>
    <n v="934"/>
    <n v="302"/>
    <n v="2356"/>
    <n v="37437"/>
    <n v="93551"/>
    <x v="0"/>
    <n v="7048"/>
  </r>
  <r>
    <s v="A234"/>
    <x v="1"/>
    <d v="2024-06-01T00:00:00"/>
    <s v="Image"/>
    <s v="#AppleMusic,#AppleLifestyle"/>
    <n v="19844"/>
    <n v="1022"/>
    <n v="860"/>
    <n v="2570"/>
    <n v="23719"/>
    <n v="182628"/>
    <x v="2"/>
    <n v="21726"/>
  </r>
  <r>
    <s v="A235"/>
    <x v="1"/>
    <d v="2024-12-22T00:00:00"/>
    <s v="Tweet"/>
    <s v="#AppleEvent,#iPadPro"/>
    <n v="20117"/>
    <n v="1143"/>
    <n v="713"/>
    <n v="1739"/>
    <n v="34444"/>
    <n v="198670"/>
    <x v="4"/>
    <n v="21973"/>
  </r>
  <r>
    <s v="A236"/>
    <x v="1"/>
    <d v="2024-08-19T00:00:00"/>
    <s v="Video"/>
    <s v="#iPhonePhotography,#ShotOniPhone"/>
    <n v="3605"/>
    <n v="206"/>
    <n v="921"/>
    <n v="852"/>
    <n v="11660"/>
    <n v="182635"/>
    <x v="3"/>
    <n v="4732"/>
  </r>
  <r>
    <s v="A237"/>
    <x v="3"/>
    <d v="2024-10-22T00:00:00"/>
    <s v="Carousel"/>
    <s v="#AppleDesign,#Innovation"/>
    <n v="7622"/>
    <n v="529"/>
    <n v="720"/>
    <n v="1015"/>
    <n v="71322"/>
    <n v="86819"/>
    <x v="4"/>
    <n v="8871"/>
  </r>
  <r>
    <s v="A238"/>
    <x v="3"/>
    <d v="2024-07-16T00:00:00"/>
    <s v="Tweet"/>
    <s v="#iPhone16Launch,#AppleEvent"/>
    <n v="8767"/>
    <n v="974"/>
    <n v="733"/>
    <n v="1587"/>
    <n v="74927"/>
    <n v="113770"/>
    <x v="0"/>
    <n v="10474"/>
  </r>
  <r>
    <s v="A239"/>
    <x v="0"/>
    <d v="2025-09-10T00:00:00"/>
    <s v="Image"/>
    <s v="#MacBookAirM3,#AppleInnovation"/>
    <n v="13613"/>
    <n v="350"/>
    <n v="809"/>
    <n v="2013"/>
    <n v="20471"/>
    <n v="198038"/>
    <x v="1"/>
    <n v="14772"/>
  </r>
  <r>
    <s v="A240"/>
    <x v="1"/>
    <d v="2025-09-11T00:00:00"/>
    <s v="Video"/>
    <s v="#AppleMusic,#AppleLifestyle"/>
    <n v="21901"/>
    <n v="1308"/>
    <n v="724"/>
    <n v="2183"/>
    <n v="15996"/>
    <n v="230961"/>
    <x v="1"/>
    <n v="23933"/>
  </r>
  <r>
    <s v="A241"/>
    <x v="3"/>
    <d v="2025-01-18T00:00:00"/>
    <s v="Tweet"/>
    <s v="#iPhonePhotography,#ShotOniPhone"/>
    <n v="12589"/>
    <n v="346"/>
    <n v="459"/>
    <n v="1407"/>
    <n v="29254"/>
    <n v="198059"/>
    <x v="2"/>
    <n v="13394"/>
  </r>
  <r>
    <s v="A242"/>
    <x v="0"/>
    <d v="2025-09-12T00:00:00"/>
    <s v="Video"/>
    <s v="#AppleMusic,#AppleLifestyle"/>
    <n v="15918"/>
    <n v="1114"/>
    <n v="392"/>
    <n v="1641"/>
    <n v="28044"/>
    <n v="118714"/>
    <x v="1"/>
    <n v="17424"/>
  </r>
  <r>
    <s v="A243"/>
    <x v="1"/>
    <d v="2025-03-06T00:00:00"/>
    <s v="Tweet"/>
    <s v="#iPhone16Launch,#AppleEvent"/>
    <n v="22119"/>
    <n v="899"/>
    <n v="642"/>
    <n v="410"/>
    <n v="49490"/>
    <n v="229420"/>
    <x v="3"/>
    <n v="23660"/>
  </r>
  <r>
    <s v="A244"/>
    <x v="2"/>
    <d v="2025-09-13T00:00:00"/>
    <s v="Video"/>
    <s v="#iPhonePhotography,#ShotOniPhone"/>
    <n v="15046"/>
    <n v="281"/>
    <n v="515"/>
    <n v="550"/>
    <n v="22583"/>
    <n v="64596"/>
    <x v="1"/>
    <n v="15842"/>
  </r>
  <r>
    <s v="A245"/>
    <x v="0"/>
    <d v="2025-01-12T00:00:00"/>
    <s v="Image"/>
    <s v="#AppleEvent,#iPadPro"/>
    <n v="4590"/>
    <n v="713"/>
    <n v="479"/>
    <n v="2730"/>
    <n v="41050"/>
    <n v="204246"/>
    <x v="2"/>
    <n v="5782"/>
  </r>
  <r>
    <s v="A246"/>
    <x v="3"/>
    <d v="2024-10-11T00:00:00"/>
    <s v="Carousel"/>
    <s v="#iPhone16Launch,#AppleEvent"/>
    <n v="19447"/>
    <n v="1014"/>
    <n v="256"/>
    <n v="2354"/>
    <n v="5472"/>
    <n v="104106"/>
    <x v="0"/>
    <n v="20717"/>
  </r>
  <r>
    <s v="A247"/>
    <x v="2"/>
    <d v="2024-08-27T00:00:00"/>
    <s v="Image"/>
    <s v="#MacBookProM3"/>
    <n v="6324"/>
    <n v="908"/>
    <n v="375"/>
    <n v="758"/>
    <n v="34850"/>
    <n v="241039"/>
    <x v="0"/>
    <n v="7607"/>
  </r>
  <r>
    <s v="A248"/>
    <x v="2"/>
    <d v="2025-09-14T00:00:00"/>
    <s v="Carousel"/>
    <s v="#AppleEvent,#iPhone16"/>
    <n v="12787"/>
    <n v="945"/>
    <n v="974"/>
    <n v="1407"/>
    <n v="4037"/>
    <n v="99182"/>
    <x v="1"/>
    <n v="14706"/>
  </r>
  <r>
    <s v="A249"/>
    <x v="2"/>
    <d v="2024-07-18T00:00:00"/>
    <s v="Video"/>
    <s v="#MacBookProM3"/>
    <n v="11111"/>
    <n v="1222"/>
    <n v="367"/>
    <n v="507"/>
    <n v="14129"/>
    <n v="127163"/>
    <x v="4"/>
    <n v="12700"/>
  </r>
  <r>
    <s v="A250"/>
    <x v="0"/>
    <d v="2024-06-22T00:00:00"/>
    <s v="Tweet"/>
    <s v="#AppleWatch,#Health"/>
    <n v="7342"/>
    <n v="906"/>
    <n v="902"/>
    <n v="1199"/>
    <n v="68488"/>
    <n v="79310"/>
    <x v="0"/>
    <n v="9150"/>
  </r>
  <r>
    <s v="A251"/>
    <x v="3"/>
    <d v="2025-09-15T00:00:00"/>
    <s v="Image"/>
    <s v="#AppleMusic,#AppleLifestyle"/>
    <n v="18389"/>
    <n v="670"/>
    <n v="655"/>
    <n v="321"/>
    <n v="21869"/>
    <n v="96088"/>
    <x v="1"/>
    <n v="19714"/>
  </r>
  <r>
    <s v="A252"/>
    <x v="2"/>
    <d v="2025-04-28T00:00:00"/>
    <s v="Carousel"/>
    <s v="#AppleEvent,#iPhone16"/>
    <n v="10659"/>
    <n v="1342"/>
    <n v="408"/>
    <n v="709"/>
    <n v="16309"/>
    <n v="168803"/>
    <x v="2"/>
    <n v="12409"/>
  </r>
  <r>
    <s v="A253"/>
    <x v="1"/>
    <d v="2025-09-16T00:00:00"/>
    <s v="Image"/>
    <s v="#MacBookProM3"/>
    <n v="16043"/>
    <n v="595"/>
    <n v="923"/>
    <n v="1194"/>
    <n v="52613"/>
    <n v="179978"/>
    <x v="1"/>
    <n v="17561"/>
  </r>
  <r>
    <s v="A254"/>
    <x v="2"/>
    <d v="2025-01-14T00:00:00"/>
    <s v="Carousel"/>
    <s v="#AppleEvent,#iPhone16"/>
    <n v="24350"/>
    <n v="460"/>
    <n v="666"/>
    <n v="814"/>
    <n v="21120"/>
    <n v="76914"/>
    <x v="0"/>
    <n v="25476"/>
  </r>
  <r>
    <s v="A255"/>
    <x v="2"/>
    <d v="2025-04-03T00:00:00"/>
    <s v="Image"/>
    <s v="#Sustainability,#AppleEarth"/>
    <n v="10837"/>
    <n v="1004"/>
    <n v="922"/>
    <n v="1108"/>
    <n v="36807"/>
    <n v="150350"/>
    <x v="2"/>
    <n v="12763"/>
  </r>
  <r>
    <s v="A256"/>
    <x v="0"/>
    <d v="2025-09-17T00:00:00"/>
    <s v="Carousel"/>
    <s v="#AppleMusic,#AppleLifestyle"/>
    <n v="2117"/>
    <n v="1133"/>
    <n v="203"/>
    <n v="1173"/>
    <n v="40125"/>
    <n v="85379"/>
    <x v="1"/>
    <n v="3453"/>
  </r>
  <r>
    <s v="A257"/>
    <x v="0"/>
    <d v="2025-04-06T00:00:00"/>
    <s v="Carousel"/>
    <s v="#AppleEvent,#iPhone16"/>
    <n v="15917"/>
    <n v="1479"/>
    <n v="196"/>
    <n v="313"/>
    <n v="48524"/>
    <n v="249684"/>
    <x v="3"/>
    <n v="17592"/>
  </r>
  <r>
    <s v="A258"/>
    <x v="3"/>
    <d v="2024-08-05T00:00:00"/>
    <s v="Video"/>
    <s v="#AppleWatchUltra2,#HealthTech"/>
    <n v="20935"/>
    <n v="1104"/>
    <n v="876"/>
    <n v="1270"/>
    <n v="21454"/>
    <n v="208722"/>
    <x v="2"/>
    <n v="22915"/>
  </r>
  <r>
    <s v="A259"/>
    <x v="1"/>
    <d v="2025-02-10T00:00:00"/>
    <s v="Carousel"/>
    <s v="#MacBookAirM3,#AppleInnovation"/>
    <n v="16309"/>
    <n v="1449"/>
    <n v="838"/>
    <n v="2434"/>
    <n v="2940"/>
    <n v="217953"/>
    <x v="3"/>
    <n v="18596"/>
  </r>
  <r>
    <s v="A260"/>
    <x v="0"/>
    <d v="2025-02-12T00:00:00"/>
    <s v="Video"/>
    <s v="#MacBookAirM3,#AppleInnovation"/>
    <n v="15234"/>
    <n v="1276"/>
    <n v="670"/>
    <n v="1860"/>
    <n v="60397"/>
    <n v="86413"/>
    <x v="4"/>
    <n v="17180"/>
  </r>
  <r>
    <s v="A261"/>
    <x v="2"/>
    <d v="2024-10-27T00:00:00"/>
    <s v="Carousel"/>
    <s v="#AppleWatchUltra2,#HealthTech"/>
    <n v="7560"/>
    <n v="1139"/>
    <n v="248"/>
    <n v="1624"/>
    <n v="72237"/>
    <n v="177084"/>
    <x v="2"/>
    <n v="8947"/>
  </r>
  <r>
    <s v="A262"/>
    <x v="3"/>
    <d v="2025-01-18T00:00:00"/>
    <s v="Tweet"/>
    <s v="#iPhonePhotography,#ShotOniPhone"/>
    <n v="22673"/>
    <n v="1053"/>
    <n v="169"/>
    <n v="1566"/>
    <n v="9417"/>
    <n v="221187"/>
    <x v="3"/>
    <n v="23895"/>
  </r>
  <r>
    <s v="A263"/>
    <x v="2"/>
    <d v="2024-08-20T00:00:00"/>
    <s v="Tweet"/>
    <s v="#ShotOniPhone"/>
    <n v="2846"/>
    <n v="792"/>
    <n v="902"/>
    <n v="2469"/>
    <n v="12130"/>
    <n v="47151"/>
    <x v="0"/>
    <n v="4540"/>
  </r>
  <r>
    <s v="A264"/>
    <x v="2"/>
    <d v="2025-01-30T00:00:00"/>
    <s v="Tweet"/>
    <s v="#iPhonePhotography,#ShotOniPhone"/>
    <n v="12954"/>
    <n v="913"/>
    <n v="722"/>
    <n v="1049"/>
    <n v="475"/>
    <n v="97716"/>
    <x v="0"/>
    <n v="14589"/>
  </r>
  <r>
    <s v="A265"/>
    <x v="0"/>
    <d v="2025-02-20T00:00:00"/>
    <s v="Carousel"/>
    <s v="#iPhone16Launch,#AppleEvent"/>
    <n v="15703"/>
    <n v="1381"/>
    <n v="639"/>
    <n v="984"/>
    <n v="10967"/>
    <n v="133747"/>
    <x v="4"/>
    <n v="17723"/>
  </r>
  <r>
    <s v="A266"/>
    <x v="3"/>
    <d v="2024-11-25T00:00:00"/>
    <s v="Video"/>
    <s v="#iPhone16Launch,#AppleEvent"/>
    <n v="17385"/>
    <n v="831"/>
    <n v="568"/>
    <n v="2227"/>
    <n v="49351"/>
    <n v="207450"/>
    <x v="2"/>
    <n v="18784"/>
  </r>
  <r>
    <s v="A267"/>
    <x v="1"/>
    <d v="2024-10-04T00:00:00"/>
    <s v="Video"/>
    <s v="#AppleEvent,#iPhone16"/>
    <n v="15746"/>
    <n v="258"/>
    <n v="839"/>
    <n v="2656"/>
    <n v="66614"/>
    <n v="213724"/>
    <x v="2"/>
    <n v="16843"/>
  </r>
  <r>
    <s v="A268"/>
    <x v="1"/>
    <d v="2025-04-13T00:00:00"/>
    <s v="Carousel"/>
    <s v="#MacBookProM3"/>
    <n v="24700"/>
    <n v="327"/>
    <n v="999"/>
    <n v="994"/>
    <n v="59400"/>
    <n v="243502"/>
    <x v="2"/>
    <n v="26026"/>
  </r>
  <r>
    <s v="A269"/>
    <x v="0"/>
    <d v="2024-11-05T00:00:00"/>
    <s v="Tweet"/>
    <s v="#MacBookProM3"/>
    <n v="8469"/>
    <n v="935"/>
    <n v="211"/>
    <n v="2635"/>
    <n v="21890"/>
    <n v="184539"/>
    <x v="4"/>
    <n v="9615"/>
  </r>
  <r>
    <s v="A270"/>
    <x v="0"/>
    <d v="2025-01-15T00:00:00"/>
    <s v="Tweet"/>
    <s v="#MacBookAirM3,#AppleInnovation"/>
    <n v="11333"/>
    <n v="920"/>
    <n v="294"/>
    <n v="606"/>
    <n v="59490"/>
    <n v="202082"/>
    <x v="2"/>
    <n v="12547"/>
  </r>
  <r>
    <s v="A271"/>
    <x v="3"/>
    <d v="2024-10-17T00:00:00"/>
    <s v="Video"/>
    <s v="#AppleDesign,#Innovation"/>
    <n v="18608"/>
    <n v="1338"/>
    <n v="365"/>
    <n v="2289"/>
    <n v="20785"/>
    <n v="161999"/>
    <x v="0"/>
    <n v="20311"/>
  </r>
  <r>
    <s v="A272"/>
    <x v="1"/>
    <d v="2025-03-27T00:00:00"/>
    <s v="Tweet"/>
    <s v="#iPhonePhotography,#ShotOniPhone"/>
    <n v="14819"/>
    <n v="1432"/>
    <n v="152"/>
    <n v="961"/>
    <n v="39154"/>
    <n v="154793"/>
    <x v="3"/>
    <n v="16403"/>
  </r>
  <r>
    <s v="A273"/>
    <x v="1"/>
    <d v="2024-10-12T00:00:00"/>
    <s v="Image"/>
    <s v="#Sustainability,#AppleEarth"/>
    <n v="6208"/>
    <n v="725"/>
    <n v="309"/>
    <n v="848"/>
    <n v="39319"/>
    <n v="225763"/>
    <x v="0"/>
    <n v="7242"/>
  </r>
  <r>
    <s v="A274"/>
    <x v="1"/>
    <d v="2025-01-01T00:00:00"/>
    <s v="Video"/>
    <s v="#AppleMusic,#AppleLifestyle"/>
    <n v="8283"/>
    <n v="720"/>
    <n v="888"/>
    <n v="611"/>
    <n v="52791"/>
    <n v="235229"/>
    <x v="0"/>
    <n v="9891"/>
  </r>
  <r>
    <s v="A275"/>
    <x v="2"/>
    <d v="2024-08-05T00:00:00"/>
    <s v="Tweet"/>
    <s v="#AppleWatch,#Health"/>
    <n v="4048"/>
    <n v="751"/>
    <n v="930"/>
    <n v="1382"/>
    <n v="16844"/>
    <n v="148177"/>
    <x v="3"/>
    <n v="5729"/>
  </r>
  <r>
    <s v="A276"/>
    <x v="1"/>
    <d v="2024-06-07T00:00:00"/>
    <s v="Video"/>
    <s v="#AppleEvent,#iPadPro"/>
    <n v="8233"/>
    <n v="436"/>
    <n v="269"/>
    <n v="2037"/>
    <n v="8875"/>
    <n v="52289"/>
    <x v="0"/>
    <n v="8938"/>
  </r>
  <r>
    <s v="A277"/>
    <x v="2"/>
    <d v="2025-04-06T00:00:00"/>
    <s v="Image"/>
    <s v="#MacBookProM3"/>
    <n v="14941"/>
    <n v="1424"/>
    <n v="238"/>
    <n v="1054"/>
    <n v="20516"/>
    <n v="216048"/>
    <x v="4"/>
    <n v="16603"/>
  </r>
  <r>
    <s v="A278"/>
    <x v="3"/>
    <d v="2024-11-26T00:00:00"/>
    <s v="Video"/>
    <s v="#AppleMusic,#AppleLifestyle"/>
    <n v="14607"/>
    <n v="1458"/>
    <n v="478"/>
    <n v="334"/>
    <n v="49257"/>
    <n v="214668"/>
    <x v="3"/>
    <n v="16543"/>
  </r>
  <r>
    <s v="A279"/>
    <x v="2"/>
    <d v="2024-09-02T00:00:00"/>
    <s v="Video"/>
    <s v="#AppleEvent,#iPadPro"/>
    <n v="11765"/>
    <n v="693"/>
    <n v="729"/>
    <n v="744"/>
    <n v="97772"/>
    <n v="194243"/>
    <x v="0"/>
    <n v="13187"/>
  </r>
  <r>
    <s v="A280"/>
    <x v="3"/>
    <d v="2025-09-18T00:00:00"/>
    <s v="Video"/>
    <s v="#AppleMusic,#AppleLifestyle"/>
    <n v="3828"/>
    <n v="203"/>
    <n v="506"/>
    <n v="2440"/>
    <n v="63650"/>
    <n v="126365"/>
    <x v="1"/>
    <n v="4537"/>
  </r>
  <r>
    <s v="A281"/>
    <x v="1"/>
    <d v="2025-03-22T00:00:00"/>
    <s v="Video"/>
    <s v="#AppleEvent,#iPhone16"/>
    <n v="3917"/>
    <n v="865"/>
    <n v="759"/>
    <n v="2282"/>
    <n v="56125"/>
    <n v="154014"/>
    <x v="0"/>
    <n v="5541"/>
  </r>
  <r>
    <s v="A282"/>
    <x v="1"/>
    <d v="2024-10-03T00:00:00"/>
    <s v="Image"/>
    <s v="#AppleEvent,#iPadPro"/>
    <n v="22618"/>
    <n v="641"/>
    <n v="416"/>
    <n v="1530"/>
    <n v="18395"/>
    <n v="215211"/>
    <x v="4"/>
    <n v="23675"/>
  </r>
  <r>
    <s v="A283"/>
    <x v="3"/>
    <d v="2025-05-09T00:00:00"/>
    <s v="Carousel"/>
    <s v="#AppleWatch,#Health"/>
    <n v="8988"/>
    <n v="228"/>
    <n v="766"/>
    <n v="652"/>
    <n v="63789"/>
    <n v="219785"/>
    <x v="2"/>
    <n v="9982"/>
  </r>
  <r>
    <s v="A284"/>
    <x v="0"/>
    <d v="2024-09-17T00:00:00"/>
    <s v="Video"/>
    <s v="#AppleMusic,#AppleLifestyle"/>
    <n v="20410"/>
    <n v="1332"/>
    <n v="472"/>
    <n v="1202"/>
    <n v="9418"/>
    <n v="200806"/>
    <x v="0"/>
    <n v="22214"/>
  </r>
  <r>
    <s v="A285"/>
    <x v="3"/>
    <d v="2024-07-18T00:00:00"/>
    <s v="Video"/>
    <s v="#AppleWatchUltra2,#HealthTech"/>
    <n v="16594"/>
    <n v="809"/>
    <n v="784"/>
    <n v="1655"/>
    <n v="35505"/>
    <n v="112588"/>
    <x v="2"/>
    <n v="18187"/>
  </r>
  <r>
    <s v="A286"/>
    <x v="0"/>
    <d v="2025-09-19T00:00:00"/>
    <s v="Tweet"/>
    <s v="#AppleWatch,#Health"/>
    <n v="22128"/>
    <n v="1004"/>
    <n v="690"/>
    <n v="2048"/>
    <n v="19443"/>
    <n v="103646"/>
    <x v="1"/>
    <n v="23822"/>
  </r>
  <r>
    <s v="A287"/>
    <x v="2"/>
    <d v="2024-08-15T00:00:00"/>
    <s v="Video"/>
    <s v="#AppleEvent,#iPadPro"/>
    <n v="14977"/>
    <n v="274"/>
    <n v="798"/>
    <n v="458"/>
    <n v="6636"/>
    <n v="43654"/>
    <x v="0"/>
    <n v="16049"/>
  </r>
  <r>
    <s v="A288"/>
    <x v="2"/>
    <d v="2025-04-17T00:00:00"/>
    <s v="Tweet"/>
    <s v="#AppleWatch,#Health"/>
    <n v="2009"/>
    <n v="1037"/>
    <n v="344"/>
    <n v="2277"/>
    <n v="85743"/>
    <n v="58743"/>
    <x v="3"/>
    <n v="3390"/>
  </r>
  <r>
    <s v="A289"/>
    <x v="2"/>
    <d v="2024-11-28T00:00:00"/>
    <s v="Carousel"/>
    <s v="#AppleMusic,#AppleLifestyle"/>
    <n v="18644"/>
    <n v="1369"/>
    <n v="887"/>
    <n v="1256"/>
    <n v="43415"/>
    <n v="88368"/>
    <x v="2"/>
    <n v="20900"/>
  </r>
  <r>
    <s v="A290"/>
    <x v="1"/>
    <d v="2025-09-20T00:00:00"/>
    <s v="Image"/>
    <s v="#ShotOniPhone"/>
    <n v="24422"/>
    <n v="327"/>
    <n v="481"/>
    <n v="2371"/>
    <n v="35340"/>
    <n v="245244"/>
    <x v="1"/>
    <n v="25230"/>
  </r>
  <r>
    <s v="A291"/>
    <x v="2"/>
    <d v="2024-11-06T00:00:00"/>
    <s v="Image"/>
    <s v="#AppleMusic,#AppleLifestyle"/>
    <n v="11865"/>
    <n v="241"/>
    <n v="319"/>
    <n v="703"/>
    <n v="69596"/>
    <n v="177513"/>
    <x v="3"/>
    <n v="12425"/>
  </r>
  <r>
    <s v="A292"/>
    <x v="0"/>
    <d v="2024-11-17T00:00:00"/>
    <s v="Carousel"/>
    <s v="#AppleMusic,#AppleLifestyle"/>
    <n v="4219"/>
    <n v="240"/>
    <n v="670"/>
    <n v="815"/>
    <n v="11978"/>
    <n v="159735"/>
    <x v="3"/>
    <n v="5129"/>
  </r>
  <r>
    <s v="A293"/>
    <x v="2"/>
    <d v="2025-05-14T00:00:00"/>
    <s v="Image"/>
    <s v="#AppleEvent,#iPhone16"/>
    <n v="9041"/>
    <n v="1133"/>
    <n v="612"/>
    <n v="1687"/>
    <n v="28102"/>
    <n v="195683"/>
    <x v="3"/>
    <n v="10786"/>
  </r>
  <r>
    <s v="A294"/>
    <x v="3"/>
    <d v="2024-06-19T00:00:00"/>
    <s v="Carousel"/>
    <s v="#iPhonePhotography,#ShotOniPhone"/>
    <n v="20444"/>
    <n v="233"/>
    <n v="189"/>
    <n v="2879"/>
    <n v="28185"/>
    <n v="159891"/>
    <x v="3"/>
    <n v="20866"/>
  </r>
  <r>
    <s v="A295"/>
    <x v="3"/>
    <d v="2025-05-06T00:00:00"/>
    <s v="Carousel"/>
    <s v="#AppleWatchUltra2,#HealthTech"/>
    <n v="7287"/>
    <n v="1240"/>
    <n v="686"/>
    <n v="1255"/>
    <n v="15403"/>
    <n v="147971"/>
    <x v="0"/>
    <n v="9213"/>
  </r>
  <r>
    <s v="A296"/>
    <x v="1"/>
    <d v="2025-02-11T00:00:00"/>
    <s v="Carousel"/>
    <s v="#Sustainability,#AppleEarth"/>
    <n v="3619"/>
    <n v="1376"/>
    <n v="410"/>
    <n v="2499"/>
    <n v="58146"/>
    <n v="52149"/>
    <x v="0"/>
    <n v="5405"/>
  </r>
  <r>
    <s v="A297"/>
    <x v="3"/>
    <d v="2024-12-24T00:00:00"/>
    <s v="Image"/>
    <s v="#MacBookProM3"/>
    <n v="10512"/>
    <n v="1197"/>
    <n v="544"/>
    <n v="2012"/>
    <n v="10245"/>
    <n v="140102"/>
    <x v="0"/>
    <n v="12253"/>
  </r>
  <r>
    <s v="A298"/>
    <x v="0"/>
    <d v="2025-09-24T00:00:00"/>
    <s v="Tweet"/>
    <s v="#iPhone16Launch,#AppleEvent"/>
    <n v="3342"/>
    <n v="787"/>
    <n v="375"/>
    <n v="907"/>
    <n v="85823"/>
    <n v="99189"/>
    <x v="1"/>
    <n v="4504"/>
  </r>
  <r>
    <s v="A299"/>
    <x v="2"/>
    <d v="2025-09-25T00:00:00"/>
    <s v="Carousel"/>
    <s v="#iPhonePhotography,#ShotOniPhone"/>
    <n v="12568"/>
    <n v="541"/>
    <n v="273"/>
    <n v="2767"/>
    <n v="22331"/>
    <n v="192747"/>
    <x v="1"/>
    <n v="13382"/>
  </r>
  <r>
    <s v="A300"/>
    <x v="1"/>
    <d v="2025-09-26T00:00:00"/>
    <s v="Video"/>
    <s v="#iPhone16Launch,#AppleEvent"/>
    <n v="21216"/>
    <n v="226"/>
    <n v="187"/>
    <n v="1573"/>
    <n v="62688"/>
    <n v="111031"/>
    <x v="1"/>
    <n v="21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10B31-1A24-4F8B-A6CD-1D5E7F46AF8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3">
    <pivotField showAll="0"/>
    <pivotField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5" baseField="0" baseItem="0"/>
    <dataField name="Average of _Likes" fld="5" subtotal="average" baseField="11" baseItem="0"/>
    <dataField name="Sum of Clicks" fld="8" baseField="11" baseItem="0"/>
    <dataField name="Average of Clicks" fld="8" subtotal="average" baseField="11" baseItem="0"/>
    <dataField name="Average of Impressions" fld="10" subtotal="average" baseField="11" baseItem="0"/>
    <dataField name="Sum of Impressions" fld="10" baseField="0" baseItem="0"/>
  </dataField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67A07F-3334-4862-B67E-8DA63D060208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5FF6E2-8AE6-45FB-AA07-D6F0AA0C4303}" autoFormatId="16" applyNumberFormats="0" applyBorderFormats="0" applyFontFormats="0" applyPatternFormats="0" applyAlignmentFormats="0" applyWidthHeightFormats="0">
  <queryTableRefresh nextId="15" unboundColumnsRight="7">
    <queryTableFields count="14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E9363E-B88B-40E2-BEF3-C7771AEBCEF2}" autoFormatId="16" applyNumberFormats="0" applyBorderFormats="0" applyFontFormats="0" applyPatternFormats="0" applyAlignmentFormats="0" applyWidthHeightFormats="0">
  <queryTableRefresh nextId="15" unboundColumnsRight="7">
    <queryTableFields count="14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E89D56F-0E73-4FD7-992D-B01B3CDBA3FE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E642833-0451-4317-9C52-742EEA3E2B6C}" autoFormatId="16" applyNumberFormats="0" applyBorderFormats="0" applyFontFormats="0" applyPatternFormats="0" applyAlignmentFormats="0" applyWidthHeightFormats="0">
  <queryTableRefresh nextId="9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name="Net _followers_gain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75D4F-76E1-452E-862A-588B26C16C06}" name="Campaign_Metadata" displayName="Campaign_Metadata" ref="A1:M6" tableType="queryTable" totalsRowShown="0">
  <autoFilter ref="A1:M6" xr:uid="{D8675D4F-76E1-452E-862A-588B26C16C06}"/>
  <tableColumns count="13">
    <tableColumn id="1" xr3:uid="{CAE72B38-01FC-44EE-9423-8D8141D51827}" uniqueName="1" name="Campaign_Name" queryTableFieldId="1" dataDxfId="28"/>
    <tableColumn id="2" xr3:uid="{FB1D53F4-E851-418A-9ED4-8514A04C8F69}" uniqueName="2" name="Start_Date" queryTableFieldId="2" dataDxfId="27"/>
    <tableColumn id="3" xr3:uid="{4187B180-8E70-4AEE-B166-2F8675A7CF5C}" uniqueName="3" name="End_Date" queryTableFieldId="3" dataDxfId="26"/>
    <tableColumn id="4" xr3:uid="{164E5A92-DB1E-412C-AD1A-0DFB42221899}" uniqueName="4" name="Objective" queryTableFieldId="4" dataDxfId="25"/>
    <tableColumn id="5" xr3:uid="{5FD81BED-AFF6-4C0D-99B0-D1B784DB475E}" uniqueName="5" name="Ad_Spend" queryTableFieldId="5"/>
    <tableColumn id="6" xr3:uid="{EC2DCCE0-670D-43E7-83A2-CD1D7C5D6D74}" uniqueName="6" name="Impressions" queryTableFieldId="6"/>
    <tableColumn id="7" xr3:uid="{C7D08141-EABA-472A-B1C2-5078CA73ABAF}" uniqueName="7" name="Engagement_Uplift" queryTableFieldId="7"/>
    <tableColumn id="8" xr3:uid="{2D6EA18F-EE7D-4555-A4A7-3B1E5BC6D99A}" uniqueName="8" name="Campaign _days" queryTableFieldId="8" dataDxfId="24">
      <calculatedColumnFormula>Campaign_Metadata[[#This Row],[End_Date]]-Campaign_Metadata[[#This Row],[Start_Date]]+1</calculatedColumnFormula>
    </tableColumn>
    <tableColumn id="9" xr3:uid="{EF2ACE00-7970-4FB8-82BC-F3B0A25F4347}" uniqueName="9" name="pre_campaign _date_start" queryTableFieldId="9" dataDxfId="23">
      <calculatedColumnFormula>Campaign_Metadata[[#This Row],[Start_Date]]-Campaign_Metadata[[#This Row],[Campaign _days]]</calculatedColumnFormula>
    </tableColumn>
    <tableColumn id="10" xr3:uid="{FDFC4601-7416-47B8-BDF6-B134A051738F}" uniqueName="10" name="pre_campaign_end_date" queryTableFieldId="10" dataDxfId="22">
      <calculatedColumnFormula>Campaign_Metadata[[#This Row],[Start_Date]]-1</calculatedColumnFormula>
    </tableColumn>
    <tableColumn id="11" xr3:uid="{6456A24B-E202-4389-B6D1-BE0A024BF716}" uniqueName="11" name="engagement_during" queryTableFieldId="11" dataDxfId="21">
      <calculatedColumnFormula>SUMIFS(Posts!M:M,Posts!L:L,A2,Posts!C:C,"&gt;="&amp; B2,Posts!C:C,"&lt;="&amp; C2)</calculatedColumnFormula>
    </tableColumn>
    <tableColumn id="12" xr3:uid="{BA44F96E-2E52-4C01-98C4-57FA1E99D9FE}" uniqueName="12" name="engagement _before" queryTableFieldId="12" dataDxfId="20">
      <calculatedColumnFormula>SUMIFS(Posts!$M:$M,Posts!$L:$L,$A2,Posts!$C:$C,"&gt;=" &amp; $I2,Posts!C:C,"&lt;=" &amp; $J2)</calculatedColumnFormula>
    </tableColumn>
    <tableColumn id="13" xr3:uid="{F87099BD-D780-435E-892C-1FC399CECD3A}" uniqueName="13" name="engagement_uplift2" queryTableFieldId="13" dataDxfId="19">
      <calculatedColumnFormula>IF(L2=0, 0, ((K2-L2)/L2))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022A01-B7FC-4CFA-A921-1CC81E7007C9}" name="Campaign_Metadata4" displayName="Campaign_Metadata4" ref="A1:N6" tableType="queryTable" totalsRowShown="0">
  <autoFilter ref="A1:N6" xr:uid="{D8675D4F-76E1-452E-862A-588B26C16C06}"/>
  <tableColumns count="14">
    <tableColumn id="1" xr3:uid="{0EBDF058-E8B0-4A67-99D9-B28DB6B07E3E}" uniqueName="1" name="Campaign_Name" queryTableFieldId="1" dataDxfId="39"/>
    <tableColumn id="2" xr3:uid="{953489C7-25D4-4758-8B93-87CDBF2112EB}" uniqueName="2" name="Start_Date" queryTableFieldId="2" dataDxfId="38"/>
    <tableColumn id="3" xr3:uid="{C1959B1B-1E95-462A-9A01-1E505064E0BE}" uniqueName="3" name="End_Date" queryTableFieldId="3" dataDxfId="37"/>
    <tableColumn id="4" xr3:uid="{45D78981-603A-454C-AA87-DD193BA09570}" uniqueName="4" name="Objective" queryTableFieldId="4" dataDxfId="36"/>
    <tableColumn id="5" xr3:uid="{59F1B945-FF1A-43A7-A7E9-97C41E23C1CD}" uniqueName="5" name="Ad_Spend" queryTableFieldId="5"/>
    <tableColumn id="6" xr3:uid="{D1161058-C447-4922-878C-A95FDF15D208}" uniqueName="6" name="Impressions" queryTableFieldId="6"/>
    <tableColumn id="7" xr3:uid="{F93B8461-ADEE-4EB9-A911-D13965723D31}" uniqueName="7" name="Engagement_Uplift" queryTableFieldId="7"/>
    <tableColumn id="8" xr3:uid="{96D994AB-79EA-41FC-A1DD-470CB6C08B68}" uniqueName="8" name="Campaign _days" queryTableFieldId="8" dataDxfId="35">
      <calculatedColumnFormula>Campaign_Metadata4[[#This Row],[End_Date]]-Campaign_Metadata4[[#This Row],[Start_Date]]+1</calculatedColumnFormula>
    </tableColumn>
    <tableColumn id="9" xr3:uid="{83D13F2D-E2F6-48D2-9992-7CDE99F4104C}" uniqueName="9" name="pre_campaign _date_start" queryTableFieldId="9" dataDxfId="34">
      <calculatedColumnFormula>Campaign_Metadata4[[#This Row],[Start_Date]]-Campaign_Metadata4[[#This Row],[Campaign _days]]</calculatedColumnFormula>
    </tableColumn>
    <tableColumn id="10" xr3:uid="{B9666A70-5B24-4187-9AF8-3B8EA4D5988A}" uniqueName="10" name="pre_campaign_end_date" queryTableFieldId="10" dataDxfId="33">
      <calculatedColumnFormula>Campaign_Metadata4[[#This Row],[Start_Date]]-1</calculatedColumnFormula>
    </tableColumn>
    <tableColumn id="11" xr3:uid="{E576B9D1-B903-4037-ABA2-46C4217732B2}" uniqueName="11" name="engagement_during" queryTableFieldId="11" dataDxfId="32">
      <calculatedColumnFormula>SUMIFS(Posts!M:M,Posts!L:L,A2,Posts!C:C,"&gt;="&amp; B2,Posts!C:C,"&lt;="&amp; C2)</calculatedColumnFormula>
    </tableColumn>
    <tableColumn id="12" xr3:uid="{48980B90-0EF1-42B4-A39A-9E7A231D82F5}" uniqueName="12" name="engagement _before" queryTableFieldId="12" dataDxfId="31">
      <calculatedColumnFormula>SUMIFS(Posts!$M:$M,Posts!$L:$L,$A2,Posts!$C:$C,"&gt;=" &amp; $I2,Posts!C:C,"&lt;=" &amp; $J2)</calculatedColumnFormula>
    </tableColumn>
    <tableColumn id="13" xr3:uid="{7DBC7EEA-F46A-4849-8C38-E9F62AFDAEE3}" uniqueName="13" name="engagement_uplift2" queryTableFieldId="13" dataDxfId="30">
      <calculatedColumnFormula>IF(L2=0, 0, ((K2-L2)/L2))</calculatedColumnFormula>
    </tableColumn>
    <tableColumn id="14" xr3:uid="{F4163176-20F9-465E-B742-CBD390076F3D}" uniqueName="14" name="ROI" queryTableFieldId="14" dataDxfId="29">
      <calculatedColumnFormula>K2/E2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DB93A1-24B8-4832-96C0-3860A922AD47}" name="Campaign_Metadata45" displayName="Campaign_Metadata45" ref="A1:N6" tableType="queryTable" totalsRowShown="0">
  <autoFilter ref="A1:N6" xr:uid="{D8675D4F-76E1-452E-862A-588B26C16C06}"/>
  <tableColumns count="14">
    <tableColumn id="1" xr3:uid="{D4004B7A-2183-4BBB-BA18-D31CA1D5A135}" uniqueName="1" name="Campaign_Name" queryTableFieldId="1" dataDxfId="18"/>
    <tableColumn id="2" xr3:uid="{9C60C8B3-5048-41E6-BBF7-AAC6CB90E73A}" uniqueName="2" name="Start_Date" queryTableFieldId="2" dataDxfId="17"/>
    <tableColumn id="3" xr3:uid="{8B981FF6-9933-4FC5-B38E-85A100718CFC}" uniqueName="3" name="End_Date" queryTableFieldId="3" dataDxfId="16"/>
    <tableColumn id="4" xr3:uid="{089702BD-7B40-42F5-9FA6-22C37CDB30B6}" uniqueName="4" name="Objective" queryTableFieldId="4" dataDxfId="15"/>
    <tableColumn id="5" xr3:uid="{B11A83B3-916F-43A3-8A5E-E79CCD3FB254}" uniqueName="5" name="Ad_Spend" queryTableFieldId="5"/>
    <tableColumn id="6" xr3:uid="{434C2203-C7BD-4383-901E-4DBCB36DD45A}" uniqueName="6" name="Impressions" queryTableFieldId="6"/>
    <tableColumn id="7" xr3:uid="{C1694989-3BF5-40B5-921C-6F224FCB04F9}" uniqueName="7" name="Engagement_Uplift" queryTableFieldId="7"/>
    <tableColumn id="8" xr3:uid="{B71A8B38-9D2F-49C1-9B93-08C947FE99AD}" uniqueName="8" name="Campaign _days" queryTableFieldId="8" dataDxfId="14">
      <calculatedColumnFormula>Campaign_Metadata45[[#This Row],[End_Date]]-Campaign_Metadata45[[#This Row],[Start_Date]]+1</calculatedColumnFormula>
    </tableColumn>
    <tableColumn id="9" xr3:uid="{FC372961-96C6-4500-9A4F-C3B616E18D1D}" uniqueName="9" name="pre_campaign _date_start" queryTableFieldId="9" dataDxfId="13">
      <calculatedColumnFormula>Campaign_Metadata45[[#This Row],[Start_Date]]-Campaign_Metadata45[[#This Row],[Campaign _days]]</calculatedColumnFormula>
    </tableColumn>
    <tableColumn id="10" xr3:uid="{8A6BB408-9D16-4C6B-85A4-3F19C8E27A72}" uniqueName="10" name="pre_campaign_end_date" queryTableFieldId="10" dataDxfId="12">
      <calculatedColumnFormula>Campaign_Metadata45[[#This Row],[Start_Date]]-1</calculatedColumnFormula>
    </tableColumn>
    <tableColumn id="11" xr3:uid="{A6B17F5C-A2B5-40A2-B337-9CA8CFF7856C}" uniqueName="11" name="engagement_during" queryTableFieldId="11" dataDxfId="11">
      <calculatedColumnFormula>SUMIFS(Posts!M:M,Posts!L:L,A2,Posts!C:C,"&gt;="&amp; B2,Posts!C:C,"&lt;="&amp; C2)</calculatedColumnFormula>
    </tableColumn>
    <tableColumn id="12" xr3:uid="{5469B248-53A7-41E8-8EB8-E18CF8F0A079}" uniqueName="12" name="engagement _before" queryTableFieldId="12" dataDxfId="10">
      <calculatedColumnFormula>SUMIFS(Posts!$M:$M,Posts!$L:$L,$A2,Posts!$C:$C,"&gt;=" &amp; $I2,Posts!C:C,"&lt;=" &amp; $J2)</calculatedColumnFormula>
    </tableColumn>
    <tableColumn id="13" xr3:uid="{E727FB11-C528-4E10-9DFB-47F9BB468CDF}" uniqueName="13" name="engagement_uplift2" queryTableFieldId="13" dataDxfId="9">
      <calculatedColumnFormula>IF(L2=0, 0, ((K2-L2)/L2))</calculatedColumnFormula>
    </tableColumn>
    <tableColumn id="14" xr3:uid="{726986C5-6846-4AE1-A48E-94403700879E}" uniqueName="14" name="Net_followers_gain" queryTableFieldId="14" dataDxfId="8">
      <calculatedColumnFormula>SUMIFS('Engagement Summary'!H:H,'Engagement Summary'!A:A,"&gt;=" &amp; $B2,'Engagement Summary'!A:A, "&lt;=" &amp; $C2)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DFFC1-EB22-43CC-A6E3-F41A66C2BFE8}" name="Posts" displayName="Posts" ref="A1:M301" tableType="queryTable" totalsRowShown="0">
  <autoFilter ref="A1:M301" xr:uid="{302DFFC1-EB22-43CC-A6E3-F41A66C2BFE8}"/>
  <tableColumns count="13">
    <tableColumn id="1" xr3:uid="{E5FF080B-8A1E-49B6-9713-4BBDC78F2A7E}" uniqueName="1" name="PostID" queryTableFieldId="1" dataDxfId="7"/>
    <tableColumn id="2" xr3:uid="{E19A056D-3BF7-49C7-ADAC-BF40F45527E9}" uniqueName="2" name="Platform" queryTableFieldId="2" dataDxfId="6"/>
    <tableColumn id="3" xr3:uid="{CF443C4D-868A-4C40-A5C8-25103D88D95D}" uniqueName="3" name="Date" queryTableFieldId="3" dataDxfId="5"/>
    <tableColumn id="4" xr3:uid="{A8F24D78-E108-41D3-8889-A11EEF4CBF8A}" uniqueName="4" name="ContentType" queryTableFieldId="4" dataDxfId="4"/>
    <tableColumn id="5" xr3:uid="{F300BA9E-7B7B-4C1B-9139-5373D777CBB8}" uniqueName="5" name="Hashtags" queryTableFieldId="5" dataDxfId="3"/>
    <tableColumn id="6" xr3:uid="{CAEEB48D-207D-4933-BF3C-14EA47D4714B}" uniqueName="6" name="Likes" queryTableFieldId="6"/>
    <tableColumn id="7" xr3:uid="{3E4F2425-1EE8-4CE0-87AB-CAD3890702EA}" uniqueName="7" name="Shares" queryTableFieldId="7"/>
    <tableColumn id="8" xr3:uid="{472F041A-8D02-4BA7-9086-270EDFB60CDB}" uniqueName="8" name="Comments" queryTableFieldId="8"/>
    <tableColumn id="9" xr3:uid="{44E20998-727C-490C-B0E0-F0AF138E03E5}" uniqueName="9" name="Clicks" queryTableFieldId="9"/>
    <tableColumn id="10" xr3:uid="{5D01FB42-372D-43DC-9E45-2DE0D248719E}" uniqueName="10" name="Reach" queryTableFieldId="10"/>
    <tableColumn id="11" xr3:uid="{E8072CD8-AC0E-43EE-8792-4DB5B01F5CC7}" uniqueName="11" name="Impressions" queryTableFieldId="11"/>
    <tableColumn id="12" xr3:uid="{91AB15C6-16E8-4488-A804-63115E2E9698}" uniqueName="12" name="Campaign" queryTableFieldId="12" dataDxfId="2"/>
    <tableColumn id="13" xr3:uid="{74FE2BE5-74DB-4413-96DA-F3C46E426F7C}" uniqueName="13" name="engagement rat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19897B-230C-4BF8-BA4C-CE8B5441F497}" name="Engagement_Summary" displayName="Engagement_Summary" ref="A1:H201" tableType="queryTable" totalsRowShown="0">
  <autoFilter ref="A1:H201" xr:uid="{E319897B-230C-4BF8-BA4C-CE8B5441F497}"/>
  <tableColumns count="8">
    <tableColumn id="1" xr3:uid="{0C5F7257-355D-45D9-BE8A-ACEAC021F489}" uniqueName="1" name="Week_Start_Date" queryTableFieldId="1" dataDxfId="1"/>
    <tableColumn id="2" xr3:uid="{567318D0-CC38-496C-A18D-28F729B3B382}" uniqueName="2" name="Platform" queryTableFieldId="2" dataDxfId="0"/>
    <tableColumn id="3" xr3:uid="{F03C06B4-3465-4438-BFFE-FE62E17D3223}" uniqueName="3" name="New_Followers" queryTableFieldId="3"/>
    <tableColumn id="4" xr3:uid="{292251B1-0249-4230-B7E2-F1C2630F2FF8}" uniqueName="4" name="Unfollows" queryTableFieldId="4"/>
    <tableColumn id="5" xr3:uid="{92B59E34-63E3-4204-9195-A346C76475EA}" uniqueName="5" name="Total_Followers" queryTableFieldId="5"/>
    <tableColumn id="6" xr3:uid="{9D4D00F5-C905-45CF-9441-D6D6A2E98AC4}" uniqueName="6" name="Engagement_Rate" queryTableFieldId="6"/>
    <tableColumn id="7" xr3:uid="{9A57CE92-9D56-4CFB-B478-CF48769B85C6}" uniqueName="7" name="Ad_Spend" queryTableFieldId="7"/>
    <tableColumn id="8" xr3:uid="{14085853-A373-4F6F-8E59-D902A88C82AD}" uniqueName="8" name="Net _followers_gain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FACF-6B95-48E1-85F8-4F35194652B7}">
  <dimension ref="A3:J10"/>
  <sheetViews>
    <sheetView workbookViewId="0">
      <selection activeCell="J10" sqref="J10"/>
    </sheetView>
  </sheetViews>
  <sheetFormatPr defaultRowHeight="14.5" x14ac:dyDescent="0.35"/>
  <cols>
    <col min="1" max="1" width="25.7265625" bestFit="1" customWidth="1"/>
    <col min="2" max="2" width="11.36328125" bestFit="1" customWidth="1"/>
    <col min="3" max="3" width="15" bestFit="1" customWidth="1"/>
    <col min="4" max="4" width="12.26953125" bestFit="1" customWidth="1"/>
    <col min="5" max="5" width="15.08984375" bestFit="1" customWidth="1"/>
    <col min="6" max="6" width="20.1796875" bestFit="1" customWidth="1"/>
    <col min="7" max="7" width="17.453125" bestFit="1" customWidth="1"/>
  </cols>
  <sheetData>
    <row r="3" spans="1:10" x14ac:dyDescent="0.35">
      <c r="A3" s="2" t="s">
        <v>338</v>
      </c>
      <c r="B3" t="s">
        <v>340</v>
      </c>
      <c r="C3" t="s">
        <v>344</v>
      </c>
      <c r="D3" t="s">
        <v>342</v>
      </c>
      <c r="E3" t="s">
        <v>343</v>
      </c>
      <c r="F3" t="s">
        <v>345</v>
      </c>
      <c r="G3" t="s">
        <v>341</v>
      </c>
    </row>
    <row r="4" spans="1:10" x14ac:dyDescent="0.35">
      <c r="A4" s="3" t="s">
        <v>21</v>
      </c>
      <c r="B4">
        <v>957050</v>
      </c>
      <c r="C4">
        <v>13870.289855072464</v>
      </c>
      <c r="D4">
        <v>114854</v>
      </c>
      <c r="E4">
        <v>1664.5507246376812</v>
      </c>
      <c r="F4">
        <v>149724.95652173914</v>
      </c>
      <c r="G4">
        <v>10331022</v>
      </c>
    </row>
    <row r="5" spans="1:10" x14ac:dyDescent="0.35">
      <c r="A5" s="3" t="s">
        <v>17</v>
      </c>
      <c r="B5">
        <v>888529</v>
      </c>
      <c r="C5">
        <v>12877.231884057972</v>
      </c>
      <c r="D5">
        <v>106775</v>
      </c>
      <c r="E5">
        <v>1547.463768115942</v>
      </c>
      <c r="F5">
        <v>136344.18840579709</v>
      </c>
      <c r="G5">
        <v>9407749</v>
      </c>
    </row>
    <row r="6" spans="1:10" x14ac:dyDescent="0.35">
      <c r="A6" s="3" t="s">
        <v>30</v>
      </c>
      <c r="B6">
        <v>843431</v>
      </c>
      <c r="C6">
        <v>14295.440677966102</v>
      </c>
      <c r="D6">
        <v>96543</v>
      </c>
      <c r="E6">
        <v>1636.3220338983051</v>
      </c>
      <c r="F6">
        <v>150870.06779661018</v>
      </c>
      <c r="G6">
        <v>8901334</v>
      </c>
    </row>
    <row r="7" spans="1:10" x14ac:dyDescent="0.35">
      <c r="A7" s="3" t="s">
        <v>46</v>
      </c>
      <c r="B7">
        <v>585970</v>
      </c>
      <c r="C7">
        <v>12738.478260869566</v>
      </c>
      <c r="D7">
        <v>74667</v>
      </c>
      <c r="E7">
        <v>1623.195652173913</v>
      </c>
      <c r="F7">
        <v>145625.28260869565</v>
      </c>
      <c r="G7">
        <v>6698763</v>
      </c>
    </row>
    <row r="8" spans="1:10" x14ac:dyDescent="0.35">
      <c r="A8" s="3" t="s">
        <v>26</v>
      </c>
      <c r="B8">
        <v>792463</v>
      </c>
      <c r="C8">
        <v>13902.859649122807</v>
      </c>
      <c r="D8">
        <v>89166</v>
      </c>
      <c r="E8">
        <v>1564.3157894736842</v>
      </c>
      <c r="F8">
        <v>161807</v>
      </c>
      <c r="G8">
        <v>9222999</v>
      </c>
    </row>
    <row r="9" spans="1:10" x14ac:dyDescent="0.35">
      <c r="A9" s="3" t="s">
        <v>339</v>
      </c>
      <c r="B9">
        <v>4067443</v>
      </c>
      <c r="C9">
        <v>13558.143333333333</v>
      </c>
      <c r="D9">
        <v>482005</v>
      </c>
      <c r="E9">
        <v>1606.6833333333334</v>
      </c>
      <c r="F9">
        <v>148539.55666666667</v>
      </c>
      <c r="G9">
        <v>44561867</v>
      </c>
    </row>
    <row r="10" spans="1:10" x14ac:dyDescent="0.35">
      <c r="J10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DDFF-EDD7-4B7F-BC28-B00706E0994A}">
  <dimension ref="A1:M21"/>
  <sheetViews>
    <sheetView workbookViewId="0">
      <selection activeCell="E21" sqref="E21"/>
    </sheetView>
  </sheetViews>
  <sheetFormatPr defaultRowHeight="14.5" x14ac:dyDescent="0.35"/>
  <cols>
    <col min="1" max="1" width="25.7265625" bestFit="1" customWidth="1"/>
    <col min="2" max="2" width="11.81640625" bestFit="1" customWidth="1"/>
    <col min="3" max="3" width="11" bestFit="1" customWidth="1"/>
    <col min="4" max="4" width="23.453125" bestFit="1" customWidth="1"/>
    <col min="5" max="5" width="11.453125" bestFit="1" customWidth="1"/>
    <col min="6" max="6" width="13.36328125" bestFit="1" customWidth="1"/>
    <col min="7" max="7" width="19" bestFit="1" customWidth="1"/>
    <col min="8" max="8" width="16.81640625" bestFit="1" customWidth="1"/>
    <col min="9" max="9" width="24.7265625" bestFit="1" customWidth="1"/>
    <col min="10" max="10" width="23.7265625" bestFit="1" customWidth="1"/>
    <col min="11" max="11" width="19.7265625" bestFit="1" customWidth="1"/>
    <col min="12" max="12" width="20.08984375" bestFit="1" customWidth="1"/>
    <col min="13" max="13" width="19.90625" bestFit="1" customWidth="1"/>
  </cols>
  <sheetData>
    <row r="1" spans="1:13" x14ac:dyDescent="0.35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10</v>
      </c>
      <c r="G1" t="s">
        <v>351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</row>
    <row r="2" spans="1:13" x14ac:dyDescent="0.35">
      <c r="A2" t="s">
        <v>30</v>
      </c>
      <c r="B2" s="1">
        <v>45458</v>
      </c>
      <c r="C2" s="1">
        <v>45488</v>
      </c>
      <c r="D2" t="s">
        <v>352</v>
      </c>
      <c r="E2">
        <v>85000</v>
      </c>
      <c r="F2">
        <v>950000</v>
      </c>
      <c r="G2">
        <v>0.45</v>
      </c>
      <c r="H2">
        <f>Campaign_Metadata[[#This Row],[End_Date]]-Campaign_Metadata[[#This Row],[Start_Date]]+1</f>
        <v>31</v>
      </c>
      <c r="I2" s="1">
        <f>Campaign_Metadata[[#This Row],[Start_Date]]-Campaign_Metadata[[#This Row],[Campaign _days]]</f>
        <v>45427</v>
      </c>
      <c r="J2" s="1">
        <f>Campaign_Metadata[[#This Row],[Start_Date]]-1</f>
        <v>45457</v>
      </c>
      <c r="K2">
        <f>SUMIFS(Posts!M:M,Posts!L:L,A2,Posts!C:C,"&gt;="&amp; B2,Posts!C:C,"&lt;="&amp; C2)</f>
        <v>116764</v>
      </c>
      <c r="L2">
        <f>SUMIFS(Posts!$M:$M,Posts!$L:$L,$A2,Posts!$C:$C,"&gt;=" &amp; $I2,Posts!C:C,"&lt;=" &amp; $J2)</f>
        <v>23693</v>
      </c>
      <c r="M2" s="4">
        <f t="shared" ref="M2:M6" si="0">IF(L2=0, 0, ((K2-L2)/L2))</f>
        <v>3.9282066433123708</v>
      </c>
    </row>
    <row r="3" spans="1:13" x14ac:dyDescent="0.35">
      <c r="A3" t="s">
        <v>46</v>
      </c>
      <c r="B3" s="1">
        <v>45566</v>
      </c>
      <c r="C3" s="1">
        <v>45596</v>
      </c>
      <c r="D3" t="s">
        <v>353</v>
      </c>
      <c r="E3">
        <v>60000</v>
      </c>
      <c r="F3">
        <v>780000</v>
      </c>
      <c r="G3">
        <v>0.38</v>
      </c>
      <c r="H3">
        <f>Campaign_Metadata[[#This Row],[End_Date]]-Campaign_Metadata[[#This Row],[Start_Date]]+1</f>
        <v>31</v>
      </c>
      <c r="I3" s="1">
        <f>Campaign_Metadata[[#This Row],[Start_Date]]-Campaign_Metadata[[#This Row],[Campaign _days]]</f>
        <v>45535</v>
      </c>
      <c r="J3" s="1">
        <f>Campaign_Metadata[[#This Row],[Start_Date]]-1</f>
        <v>45565</v>
      </c>
      <c r="K3">
        <f>SUMIFS(Posts!M:M,Posts!L:L,A3,Posts!C:C,"&gt;="&amp; B3,Posts!C:C,"&lt;="&amp; C3)</f>
        <v>74459</v>
      </c>
      <c r="L3">
        <f>SUMIFS(Posts!$M:$M,Posts!$L:$L,$A3,Posts!$C:$C,"&gt;=" &amp; $I3,Posts!C:C,"&lt;=" &amp; $J3)</f>
        <v>17234</v>
      </c>
      <c r="M3" s="4">
        <f t="shared" si="0"/>
        <v>3.3204711616571894</v>
      </c>
    </row>
    <row r="4" spans="1:13" x14ac:dyDescent="0.35">
      <c r="A4" t="s">
        <v>17</v>
      </c>
      <c r="B4" s="1">
        <v>45651</v>
      </c>
      <c r="C4" s="1">
        <v>45667</v>
      </c>
      <c r="D4" t="s">
        <v>354</v>
      </c>
      <c r="E4">
        <v>55000</v>
      </c>
      <c r="F4">
        <v>700000</v>
      </c>
      <c r="G4">
        <v>0.41</v>
      </c>
      <c r="H4">
        <f>Campaign_Metadata[[#This Row],[End_Date]]-Campaign_Metadata[[#This Row],[Start_Date]]+1</f>
        <v>17</v>
      </c>
      <c r="I4" s="1">
        <f>Campaign_Metadata[[#This Row],[Start_Date]]-Campaign_Metadata[[#This Row],[Campaign _days]]</f>
        <v>45634</v>
      </c>
      <c r="J4" s="1">
        <f>Campaign_Metadata[[#This Row],[Start_Date]]-1</f>
        <v>45650</v>
      </c>
      <c r="K4">
        <f>SUMIFS(Posts!M:M,Posts!L:L,A4,Posts!C:C,"&gt;="&amp; B4,Posts!C:C,"&lt;="&amp; C4)</f>
        <v>34600</v>
      </c>
      <c r="L4">
        <f>SUMIFS(Posts!$M:$M,Posts!$L:$L,$A4,Posts!$C:$C,"&gt;=" &amp; $I4,Posts!C:C,"&lt;=" &amp; $J4)</f>
        <v>42509</v>
      </c>
      <c r="M4" s="4">
        <f t="shared" si="0"/>
        <v>-0.1860547178244607</v>
      </c>
    </row>
    <row r="5" spans="1:13" x14ac:dyDescent="0.35">
      <c r="A5" t="s">
        <v>26</v>
      </c>
      <c r="B5" s="1">
        <v>45717</v>
      </c>
      <c r="C5" s="1">
        <v>45747</v>
      </c>
      <c r="D5" t="s">
        <v>355</v>
      </c>
      <c r="E5">
        <v>40000</v>
      </c>
      <c r="F5">
        <v>550000</v>
      </c>
      <c r="G5">
        <v>0.32</v>
      </c>
      <c r="H5">
        <f>Campaign_Metadata[[#This Row],[End_Date]]-Campaign_Metadata[[#This Row],[Start_Date]]+1</f>
        <v>31</v>
      </c>
      <c r="I5" s="1">
        <f>Campaign_Metadata[[#This Row],[Start_Date]]-Campaign_Metadata[[#This Row],[Campaign _days]]</f>
        <v>45686</v>
      </c>
      <c r="J5" s="1">
        <f>Campaign_Metadata[[#This Row],[Start_Date]]-1</f>
        <v>45716</v>
      </c>
      <c r="K5">
        <f>SUMIFS(Posts!M:M,Posts!L:L,A5,Posts!C:C,"&gt;="&amp; B5,Posts!C:C,"&lt;="&amp; C5)</f>
        <v>52595</v>
      </c>
      <c r="L5">
        <f>SUMIFS(Posts!$M:$M,Posts!$L:$L,$A5,Posts!$C:$C,"&gt;=" &amp; $I5,Posts!C:C,"&lt;=" &amp; $J5)</f>
        <v>79895</v>
      </c>
      <c r="M5" s="4">
        <f t="shared" si="0"/>
        <v>-0.34169847925402091</v>
      </c>
    </row>
    <row r="6" spans="1:13" x14ac:dyDescent="0.35">
      <c r="A6" t="s">
        <v>21</v>
      </c>
      <c r="B6" s="1">
        <v>45901</v>
      </c>
      <c r="C6" s="1">
        <v>45930</v>
      </c>
      <c r="D6" t="s">
        <v>356</v>
      </c>
      <c r="E6">
        <v>75000</v>
      </c>
      <c r="F6">
        <v>880000</v>
      </c>
      <c r="G6">
        <v>0.47</v>
      </c>
      <c r="H6">
        <f>Campaign_Metadata[[#This Row],[End_Date]]-Campaign_Metadata[[#This Row],[Start_Date]]+1</f>
        <v>30</v>
      </c>
      <c r="I6" s="1">
        <f>Campaign_Metadata[[#This Row],[Start_Date]]-Campaign_Metadata[[#This Row],[Campaign _days]]</f>
        <v>45871</v>
      </c>
      <c r="J6" s="1">
        <f>Campaign_Metadata[[#This Row],[Start_Date]]-1</f>
        <v>45900</v>
      </c>
      <c r="K6">
        <f>SUMIFS(Posts!M:M,Posts!L:L,A6,Posts!C:C,"&gt;="&amp; B6,Posts!C:C,"&lt;="&amp; C6)</f>
        <v>826669</v>
      </c>
      <c r="L6">
        <f>SUMIFS(Posts!$M:$M,Posts!$L:$L,$A6,Posts!$C:$C,"&gt;=" &amp; $I6,Posts!C:C,"&lt;=" &amp; $J6)</f>
        <v>0</v>
      </c>
      <c r="M6" s="4">
        <f t="shared" si="0"/>
        <v>0</v>
      </c>
    </row>
    <row r="21" spans="5:5" x14ac:dyDescent="0.35">
      <c r="E21" t="s">
        <v>372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C326-4E22-4E15-8709-E096AD6E3A48}">
  <dimension ref="A1:N11"/>
  <sheetViews>
    <sheetView workbookViewId="0">
      <selection activeCell="G11" sqref="G11"/>
    </sheetView>
  </sheetViews>
  <sheetFormatPr defaultRowHeight="14.5" x14ac:dyDescent="0.35"/>
  <cols>
    <col min="1" max="1" width="25.7265625" bestFit="1" customWidth="1"/>
    <col min="2" max="2" width="11.81640625" bestFit="1" customWidth="1"/>
    <col min="3" max="3" width="11" bestFit="1" customWidth="1"/>
    <col min="4" max="4" width="23.453125" bestFit="1" customWidth="1"/>
    <col min="5" max="5" width="11.453125" bestFit="1" customWidth="1"/>
    <col min="6" max="6" width="13.36328125" bestFit="1" customWidth="1"/>
    <col min="7" max="7" width="19" bestFit="1" customWidth="1"/>
    <col min="8" max="8" width="16.81640625" bestFit="1" customWidth="1"/>
    <col min="9" max="9" width="24.7265625" bestFit="1" customWidth="1"/>
    <col min="10" max="10" width="23.7265625" bestFit="1" customWidth="1"/>
    <col min="11" max="11" width="19.7265625" bestFit="1" customWidth="1"/>
    <col min="12" max="12" width="20.08984375" bestFit="1" customWidth="1"/>
    <col min="13" max="13" width="19.90625" bestFit="1" customWidth="1"/>
    <col min="14" max="14" width="6.08984375" bestFit="1" customWidth="1"/>
  </cols>
  <sheetData>
    <row r="1" spans="1:14" x14ac:dyDescent="0.35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10</v>
      </c>
      <c r="G1" t="s">
        <v>351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</row>
    <row r="2" spans="1:14" x14ac:dyDescent="0.35">
      <c r="A2" t="s">
        <v>30</v>
      </c>
      <c r="B2" s="1">
        <v>45458</v>
      </c>
      <c r="C2" s="1">
        <v>45488</v>
      </c>
      <c r="D2" t="s">
        <v>352</v>
      </c>
      <c r="E2">
        <v>85000</v>
      </c>
      <c r="F2">
        <v>950000</v>
      </c>
      <c r="G2">
        <v>0.45</v>
      </c>
      <c r="H2">
        <f>Campaign_Metadata4[[#This Row],[End_Date]]-Campaign_Metadata4[[#This Row],[Start_Date]]+1</f>
        <v>31</v>
      </c>
      <c r="I2" s="1">
        <f>Campaign_Metadata4[[#This Row],[Start_Date]]-Campaign_Metadata4[[#This Row],[Campaign _days]]</f>
        <v>45427</v>
      </c>
      <c r="J2" s="1">
        <f>Campaign_Metadata4[[#This Row],[Start_Date]]-1</f>
        <v>45457</v>
      </c>
      <c r="K2">
        <f>SUMIFS(Posts!M:M,Posts!L:L,A2,Posts!C:C,"&gt;="&amp; B2,Posts!C:C,"&lt;="&amp; C2)</f>
        <v>116764</v>
      </c>
      <c r="L2">
        <f>SUMIFS(Posts!$M:$M,Posts!$L:$L,$A2,Posts!$C:$C,"&gt;=" &amp; $I2,Posts!C:C,"&lt;=" &amp; $J2)</f>
        <v>23693</v>
      </c>
      <c r="M2" s="4">
        <f t="shared" ref="M2:M6" si="0">IF(L2=0, 0, ((K2-L2)/L2))</f>
        <v>3.9282066433123708</v>
      </c>
      <c r="N2">
        <f t="shared" ref="N2:N6" si="1">K2/E2</f>
        <v>1.3736941176470587</v>
      </c>
    </row>
    <row r="3" spans="1:14" x14ac:dyDescent="0.35">
      <c r="A3" t="s">
        <v>46</v>
      </c>
      <c r="B3" s="1">
        <v>45566</v>
      </c>
      <c r="C3" s="1">
        <v>45596</v>
      </c>
      <c r="D3" t="s">
        <v>353</v>
      </c>
      <c r="E3">
        <v>60000</v>
      </c>
      <c r="F3">
        <v>780000</v>
      </c>
      <c r="G3">
        <v>0.38</v>
      </c>
      <c r="H3">
        <f>Campaign_Metadata4[[#This Row],[End_Date]]-Campaign_Metadata4[[#This Row],[Start_Date]]+1</f>
        <v>31</v>
      </c>
      <c r="I3" s="1">
        <f>Campaign_Metadata4[[#This Row],[Start_Date]]-Campaign_Metadata4[[#This Row],[Campaign _days]]</f>
        <v>45535</v>
      </c>
      <c r="J3" s="1">
        <f>Campaign_Metadata4[[#This Row],[Start_Date]]-1</f>
        <v>45565</v>
      </c>
      <c r="K3">
        <f>SUMIFS(Posts!M:M,Posts!L:L,A3,Posts!C:C,"&gt;="&amp; B3,Posts!C:C,"&lt;="&amp; C3)</f>
        <v>74459</v>
      </c>
      <c r="L3">
        <f>SUMIFS(Posts!$M:$M,Posts!$L:$L,$A3,Posts!$C:$C,"&gt;=" &amp; $I3,Posts!C:C,"&lt;=" &amp; $J3)</f>
        <v>17234</v>
      </c>
      <c r="M3" s="4">
        <f t="shared" si="0"/>
        <v>3.3204711616571894</v>
      </c>
      <c r="N3">
        <f t="shared" si="1"/>
        <v>1.2409833333333333</v>
      </c>
    </row>
    <row r="4" spans="1:14" x14ac:dyDescent="0.35">
      <c r="A4" t="s">
        <v>17</v>
      </c>
      <c r="B4" s="1">
        <v>45651</v>
      </c>
      <c r="C4" s="1">
        <v>45667</v>
      </c>
      <c r="D4" t="s">
        <v>354</v>
      </c>
      <c r="E4">
        <v>55000</v>
      </c>
      <c r="F4">
        <v>700000</v>
      </c>
      <c r="G4">
        <v>0.41</v>
      </c>
      <c r="H4">
        <f>Campaign_Metadata4[[#This Row],[End_Date]]-Campaign_Metadata4[[#This Row],[Start_Date]]+1</f>
        <v>17</v>
      </c>
      <c r="I4" s="1">
        <f>Campaign_Metadata4[[#This Row],[Start_Date]]-Campaign_Metadata4[[#This Row],[Campaign _days]]</f>
        <v>45634</v>
      </c>
      <c r="J4" s="1">
        <f>Campaign_Metadata4[[#This Row],[Start_Date]]-1</f>
        <v>45650</v>
      </c>
      <c r="K4">
        <f>SUMIFS(Posts!M:M,Posts!L:L,A4,Posts!C:C,"&gt;="&amp; B4,Posts!C:C,"&lt;="&amp; C4)</f>
        <v>34600</v>
      </c>
      <c r="L4">
        <f>SUMIFS(Posts!$M:$M,Posts!$L:$L,$A4,Posts!$C:$C,"&gt;=" &amp; $I4,Posts!C:C,"&lt;=" &amp; $J4)</f>
        <v>42509</v>
      </c>
      <c r="M4" s="4">
        <f t="shared" si="0"/>
        <v>-0.1860547178244607</v>
      </c>
      <c r="N4">
        <f t="shared" si="1"/>
        <v>0.62909090909090915</v>
      </c>
    </row>
    <row r="5" spans="1:14" x14ac:dyDescent="0.35">
      <c r="A5" t="s">
        <v>26</v>
      </c>
      <c r="B5" s="1">
        <v>45717</v>
      </c>
      <c r="C5" s="1">
        <v>45747</v>
      </c>
      <c r="D5" t="s">
        <v>355</v>
      </c>
      <c r="E5">
        <v>40000</v>
      </c>
      <c r="F5">
        <v>550000</v>
      </c>
      <c r="G5">
        <v>0.32</v>
      </c>
      <c r="H5">
        <f>Campaign_Metadata4[[#This Row],[End_Date]]-Campaign_Metadata4[[#This Row],[Start_Date]]+1</f>
        <v>31</v>
      </c>
      <c r="I5" s="1">
        <f>Campaign_Metadata4[[#This Row],[Start_Date]]-Campaign_Metadata4[[#This Row],[Campaign _days]]</f>
        <v>45686</v>
      </c>
      <c r="J5" s="1">
        <f>Campaign_Metadata4[[#This Row],[Start_Date]]-1</f>
        <v>45716</v>
      </c>
      <c r="K5">
        <f>SUMIFS(Posts!M:M,Posts!L:L,A5,Posts!C:C,"&gt;="&amp; B5,Posts!C:C,"&lt;="&amp; C5)</f>
        <v>52595</v>
      </c>
      <c r="L5">
        <f>SUMIFS(Posts!$M:$M,Posts!$L:$L,$A5,Posts!$C:$C,"&gt;=" &amp; $I5,Posts!C:C,"&lt;=" &amp; $J5)</f>
        <v>79895</v>
      </c>
      <c r="M5" s="4">
        <f t="shared" si="0"/>
        <v>-0.34169847925402091</v>
      </c>
      <c r="N5">
        <f t="shared" si="1"/>
        <v>1.314875</v>
      </c>
    </row>
    <row r="6" spans="1:14" x14ac:dyDescent="0.35">
      <c r="A6" t="s">
        <v>21</v>
      </c>
      <c r="B6" s="1">
        <v>45901</v>
      </c>
      <c r="C6" s="1">
        <v>45930</v>
      </c>
      <c r="D6" t="s">
        <v>356</v>
      </c>
      <c r="E6">
        <v>75000</v>
      </c>
      <c r="F6">
        <v>880000</v>
      </c>
      <c r="G6">
        <v>0.47</v>
      </c>
      <c r="H6">
        <f>Campaign_Metadata4[[#This Row],[End_Date]]-Campaign_Metadata4[[#This Row],[Start_Date]]+1</f>
        <v>30</v>
      </c>
      <c r="I6" s="1">
        <f>Campaign_Metadata4[[#This Row],[Start_Date]]-Campaign_Metadata4[[#This Row],[Campaign _days]]</f>
        <v>45871</v>
      </c>
      <c r="J6" s="1">
        <f>Campaign_Metadata4[[#This Row],[Start_Date]]-1</f>
        <v>45900</v>
      </c>
      <c r="K6">
        <f>SUMIFS(Posts!M:M,Posts!L:L,A6,Posts!C:C,"&gt;="&amp; B6,Posts!C:C,"&lt;="&amp; C6)</f>
        <v>826669</v>
      </c>
      <c r="L6">
        <f>SUMIFS(Posts!$M:$M,Posts!$L:$L,$A6,Posts!$C:$C,"&gt;=" &amp; $I6,Posts!C:C,"&lt;=" &amp; $J6)</f>
        <v>0</v>
      </c>
      <c r="M6" s="4">
        <f t="shared" si="0"/>
        <v>0</v>
      </c>
      <c r="N6">
        <f t="shared" si="1"/>
        <v>11.022253333333333</v>
      </c>
    </row>
    <row r="11" spans="1:14" x14ac:dyDescent="0.35">
      <c r="G11" t="s">
        <v>373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4AB0-A325-4EDA-A063-77BAFBC7311C}">
  <dimension ref="A1:N6"/>
  <sheetViews>
    <sheetView tabSelected="1" workbookViewId="0">
      <selection activeCell="K15" sqref="K15"/>
    </sheetView>
  </sheetViews>
  <sheetFormatPr defaultRowHeight="14.5" x14ac:dyDescent="0.35"/>
  <cols>
    <col min="1" max="1" width="25.7265625" bestFit="1" customWidth="1"/>
    <col min="2" max="2" width="11.81640625" bestFit="1" customWidth="1"/>
    <col min="3" max="3" width="11" bestFit="1" customWidth="1"/>
    <col min="4" max="4" width="23.453125" bestFit="1" customWidth="1"/>
    <col min="5" max="5" width="11.453125" bestFit="1" customWidth="1"/>
    <col min="6" max="6" width="13.36328125" bestFit="1" customWidth="1"/>
    <col min="7" max="7" width="19" bestFit="1" customWidth="1"/>
    <col min="8" max="8" width="16.81640625" bestFit="1" customWidth="1"/>
    <col min="9" max="9" width="24.7265625" bestFit="1" customWidth="1"/>
    <col min="10" max="10" width="23.7265625" bestFit="1" customWidth="1"/>
    <col min="11" max="11" width="19.7265625" bestFit="1" customWidth="1"/>
    <col min="12" max="12" width="20.08984375" bestFit="1" customWidth="1"/>
    <col min="13" max="13" width="19.90625" bestFit="1" customWidth="1"/>
    <col min="14" max="14" width="18.90625" bestFit="1" customWidth="1"/>
  </cols>
  <sheetData>
    <row r="1" spans="1:14" x14ac:dyDescent="0.35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10</v>
      </c>
      <c r="G1" t="s">
        <v>351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364</v>
      </c>
    </row>
    <row r="2" spans="1:14" x14ac:dyDescent="0.35">
      <c r="A2" t="s">
        <v>30</v>
      </c>
      <c r="B2" s="1">
        <v>45458</v>
      </c>
      <c r="C2" s="1">
        <v>45488</v>
      </c>
      <c r="D2" t="s">
        <v>352</v>
      </c>
      <c r="E2">
        <v>85000</v>
      </c>
      <c r="F2">
        <v>950000</v>
      </c>
      <c r="G2">
        <v>0.45</v>
      </c>
      <c r="H2">
        <f>Campaign_Metadata45[[#This Row],[End_Date]]-Campaign_Metadata45[[#This Row],[Start_Date]]+1</f>
        <v>31</v>
      </c>
      <c r="I2" s="1">
        <f>Campaign_Metadata45[[#This Row],[Start_Date]]-Campaign_Metadata45[[#This Row],[Campaign _days]]</f>
        <v>45427</v>
      </c>
      <c r="J2" s="1">
        <f>Campaign_Metadata45[[#This Row],[Start_Date]]-1</f>
        <v>45457</v>
      </c>
      <c r="K2">
        <f>SUMIFS(Posts!M:M,Posts!L:L,A2,Posts!C:C,"&gt;="&amp; B2,Posts!C:C,"&lt;="&amp; C2)</f>
        <v>116764</v>
      </c>
      <c r="L2">
        <f>SUMIFS(Posts!$M:$M,Posts!$L:$L,$A2,Posts!$C:$C,"&gt;=" &amp; $I2,Posts!C:C,"&lt;=" &amp; $J2)</f>
        <v>23693</v>
      </c>
      <c r="M2" s="4">
        <f t="shared" ref="M2:M6" si="0">IF(L2=0, 0, ((K2-L2)/L2))</f>
        <v>3.9282066433123708</v>
      </c>
      <c r="N2">
        <f>SUMIFS('Engagement Summary'!H:H,'Engagement Summary'!A:A,"&gt;=" &amp; $B2,'Engagement Summary'!A:A, "&lt;=" &amp; $C2)</f>
        <v>106800</v>
      </c>
    </row>
    <row r="3" spans="1:14" x14ac:dyDescent="0.35">
      <c r="A3" t="s">
        <v>46</v>
      </c>
      <c r="B3" s="1">
        <v>45566</v>
      </c>
      <c r="C3" s="1">
        <v>45596</v>
      </c>
      <c r="D3" t="s">
        <v>353</v>
      </c>
      <c r="E3">
        <v>60000</v>
      </c>
      <c r="F3">
        <v>780000</v>
      </c>
      <c r="G3">
        <v>0.38</v>
      </c>
      <c r="H3">
        <f>Campaign_Metadata45[[#This Row],[End_Date]]-Campaign_Metadata45[[#This Row],[Start_Date]]+1</f>
        <v>31</v>
      </c>
      <c r="I3" s="1">
        <f>Campaign_Metadata45[[#This Row],[Start_Date]]-Campaign_Metadata45[[#This Row],[Campaign _days]]</f>
        <v>45535</v>
      </c>
      <c r="J3" s="1">
        <f>Campaign_Metadata45[[#This Row],[Start_Date]]-1</f>
        <v>45565</v>
      </c>
      <c r="K3">
        <f>SUMIFS(Posts!M:M,Posts!L:L,A3,Posts!C:C,"&gt;="&amp; B3,Posts!C:C,"&lt;="&amp; C3)</f>
        <v>74459</v>
      </c>
      <c r="L3">
        <f>SUMIFS(Posts!$M:$M,Posts!$L:$L,$A3,Posts!$C:$C,"&gt;=" &amp; $I3,Posts!C:C,"&lt;=" &amp; $J3)</f>
        <v>17234</v>
      </c>
      <c r="M3" s="4">
        <f t="shared" si="0"/>
        <v>3.3204711616571894</v>
      </c>
      <c r="N3">
        <f>SUMIFS('Engagement Summary'!H:H,'Engagement Summary'!A:A,"&gt;=" &amp; $B3,'Engagement Summary'!A:A, "&lt;=" &amp; $C3)</f>
        <v>99093</v>
      </c>
    </row>
    <row r="4" spans="1:14" x14ac:dyDescent="0.35">
      <c r="A4" t="s">
        <v>17</v>
      </c>
      <c r="B4" s="1">
        <v>45651</v>
      </c>
      <c r="C4" s="1">
        <v>45667</v>
      </c>
      <c r="D4" t="s">
        <v>354</v>
      </c>
      <c r="E4">
        <v>55000</v>
      </c>
      <c r="F4">
        <v>700000</v>
      </c>
      <c r="G4">
        <v>0.41</v>
      </c>
      <c r="H4">
        <f>Campaign_Metadata45[[#This Row],[End_Date]]-Campaign_Metadata45[[#This Row],[Start_Date]]+1</f>
        <v>17</v>
      </c>
      <c r="I4" s="1">
        <f>Campaign_Metadata45[[#This Row],[Start_Date]]-Campaign_Metadata45[[#This Row],[Campaign _days]]</f>
        <v>45634</v>
      </c>
      <c r="J4" s="1">
        <f>Campaign_Metadata45[[#This Row],[Start_Date]]-1</f>
        <v>45650</v>
      </c>
      <c r="K4">
        <f>SUMIFS(Posts!M:M,Posts!L:L,A4,Posts!C:C,"&gt;="&amp; B4,Posts!C:C,"&lt;="&amp; C4)</f>
        <v>34600</v>
      </c>
      <c r="L4">
        <f>SUMIFS(Posts!$M:$M,Posts!$L:$L,$A4,Posts!$C:$C,"&gt;=" &amp; $I4,Posts!C:C,"&lt;=" &amp; $J4)</f>
        <v>42509</v>
      </c>
      <c r="M4" s="4">
        <f t="shared" si="0"/>
        <v>-0.1860547178244607</v>
      </c>
      <c r="N4">
        <f>SUMIFS('Engagement Summary'!H:H,'Engagement Summary'!A:A,"&gt;=" &amp; $B4,'Engagement Summary'!A:A, "&lt;=" &amp; $C4)</f>
        <v>50927</v>
      </c>
    </row>
    <row r="5" spans="1:14" x14ac:dyDescent="0.35">
      <c r="A5" t="s">
        <v>26</v>
      </c>
      <c r="B5" s="1">
        <v>45717</v>
      </c>
      <c r="C5" s="1">
        <v>45747</v>
      </c>
      <c r="D5" t="s">
        <v>355</v>
      </c>
      <c r="E5">
        <v>40000</v>
      </c>
      <c r="F5">
        <v>550000</v>
      </c>
      <c r="G5">
        <v>0.32</v>
      </c>
      <c r="H5">
        <f>Campaign_Metadata45[[#This Row],[End_Date]]-Campaign_Metadata45[[#This Row],[Start_Date]]+1</f>
        <v>31</v>
      </c>
      <c r="I5" s="1">
        <f>Campaign_Metadata45[[#This Row],[Start_Date]]-Campaign_Metadata45[[#This Row],[Campaign _days]]</f>
        <v>45686</v>
      </c>
      <c r="J5" s="1">
        <f>Campaign_Metadata45[[#This Row],[Start_Date]]-1</f>
        <v>45716</v>
      </c>
      <c r="K5">
        <f>SUMIFS(Posts!M:M,Posts!L:L,A5,Posts!C:C,"&gt;="&amp; B5,Posts!C:C,"&lt;="&amp; C5)</f>
        <v>52595</v>
      </c>
      <c r="L5">
        <f>SUMIFS(Posts!$M:$M,Posts!$L:$L,$A5,Posts!$C:$C,"&gt;=" &amp; $I5,Posts!C:C,"&lt;=" &amp; $J5)</f>
        <v>79895</v>
      </c>
      <c r="M5" s="4">
        <f t="shared" si="0"/>
        <v>-0.34169847925402091</v>
      </c>
      <c r="N5">
        <f>SUMIFS('Engagement Summary'!H:H,'Engagement Summary'!A:A,"&gt;=" &amp; $B5,'Engagement Summary'!A:A, "&lt;=" &amp; $C5)</f>
        <v>107259</v>
      </c>
    </row>
    <row r="6" spans="1:14" x14ac:dyDescent="0.35">
      <c r="A6" t="s">
        <v>21</v>
      </c>
      <c r="B6" s="1">
        <v>45901</v>
      </c>
      <c r="C6" s="1">
        <v>45930</v>
      </c>
      <c r="D6" t="s">
        <v>356</v>
      </c>
      <c r="E6">
        <v>75000</v>
      </c>
      <c r="F6">
        <v>880000</v>
      </c>
      <c r="G6">
        <v>0.47</v>
      </c>
      <c r="H6">
        <f>Campaign_Metadata45[[#This Row],[End_Date]]-Campaign_Metadata45[[#This Row],[Start_Date]]+1</f>
        <v>30</v>
      </c>
      <c r="I6" s="1">
        <f>Campaign_Metadata45[[#This Row],[Start_Date]]-Campaign_Metadata45[[#This Row],[Campaign _days]]</f>
        <v>45871</v>
      </c>
      <c r="J6" s="1">
        <f>Campaign_Metadata45[[#This Row],[Start_Date]]-1</f>
        <v>45900</v>
      </c>
      <c r="K6">
        <f>SUMIFS(Posts!M:M,Posts!L:L,A6,Posts!C:C,"&gt;="&amp; B6,Posts!C:C,"&lt;="&amp; C6)</f>
        <v>826669</v>
      </c>
      <c r="L6">
        <f>SUMIFS(Posts!$M:$M,Posts!$L:$L,$A6,Posts!$C:$C,"&gt;=" &amp; $I6,Posts!C:C,"&lt;=" &amp; $J6)</f>
        <v>0</v>
      </c>
      <c r="M6" s="4">
        <f t="shared" si="0"/>
        <v>0</v>
      </c>
      <c r="N6">
        <f>SUMIFS('Engagement Summary'!H:H,'Engagement Summary'!A:A,"&gt;=" &amp; $B6,'Engagement Summary'!A:A, "&lt;=" &amp; $C6)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6D68-670F-4FBB-8CA7-6ACFAED2E247}">
  <dimension ref="A1:M301"/>
  <sheetViews>
    <sheetView workbookViewId="0">
      <selection activeCell="E21" sqref="E21"/>
    </sheetView>
  </sheetViews>
  <sheetFormatPr defaultRowHeight="14.5" x14ac:dyDescent="0.35"/>
  <cols>
    <col min="1" max="1" width="8.54296875" bestFit="1" customWidth="1"/>
    <col min="2" max="2" width="10.26953125" bestFit="1" customWidth="1"/>
    <col min="3" max="3" width="10.08984375" bestFit="1" customWidth="1"/>
    <col min="4" max="4" width="13.7265625" bestFit="1" customWidth="1"/>
    <col min="5" max="5" width="31" bestFit="1" customWidth="1"/>
    <col min="6" max="6" width="7.453125" bestFit="1" customWidth="1"/>
    <col min="7" max="7" width="8.81640625" bestFit="1" customWidth="1"/>
    <col min="8" max="8" width="12.26953125" bestFit="1" customWidth="1"/>
    <col min="9" max="10" width="8.36328125" bestFit="1" customWidth="1"/>
    <col min="11" max="11" width="13.36328125" bestFit="1" customWidth="1"/>
    <col min="12" max="12" width="25.7265625" bestFit="1" customWidth="1"/>
    <col min="13" max="13" width="17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45649</v>
      </c>
      <c r="D2" t="s">
        <v>15</v>
      </c>
      <c r="E2" t="s">
        <v>16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17</v>
      </c>
      <c r="M2">
        <v>26466</v>
      </c>
    </row>
    <row r="3" spans="1:13" x14ac:dyDescent="0.35">
      <c r="A3" t="s">
        <v>18</v>
      </c>
      <c r="B3" t="s">
        <v>19</v>
      </c>
      <c r="C3" s="1">
        <v>45903</v>
      </c>
      <c r="D3" t="s">
        <v>15</v>
      </c>
      <c r="E3" t="s">
        <v>20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t="s">
        <v>21</v>
      </c>
      <c r="M3">
        <v>6325</v>
      </c>
    </row>
    <row r="4" spans="1:13" x14ac:dyDescent="0.35">
      <c r="A4" t="s">
        <v>22</v>
      </c>
      <c r="B4" t="s">
        <v>23</v>
      </c>
      <c r="C4" s="1">
        <v>45789</v>
      </c>
      <c r="D4" t="s">
        <v>24</v>
      </c>
      <c r="E4" t="s">
        <v>25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t="s">
        <v>26</v>
      </c>
      <c r="M4">
        <v>21421</v>
      </c>
    </row>
    <row r="5" spans="1:13" x14ac:dyDescent="0.35">
      <c r="A5" t="s">
        <v>27</v>
      </c>
      <c r="B5" t="s">
        <v>14</v>
      </c>
      <c r="C5" s="1">
        <v>45516</v>
      </c>
      <c r="D5" t="s">
        <v>28</v>
      </c>
      <c r="E5" t="s">
        <v>29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t="s">
        <v>30</v>
      </c>
      <c r="M5">
        <v>4978</v>
      </c>
    </row>
    <row r="6" spans="1:13" x14ac:dyDescent="0.35">
      <c r="A6" t="s">
        <v>31</v>
      </c>
      <c r="B6" t="s">
        <v>14</v>
      </c>
      <c r="C6" s="1">
        <v>45904</v>
      </c>
      <c r="D6" t="s">
        <v>28</v>
      </c>
      <c r="E6" t="s">
        <v>16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t="s">
        <v>21</v>
      </c>
      <c r="M6">
        <v>22460</v>
      </c>
    </row>
    <row r="7" spans="1:13" x14ac:dyDescent="0.35">
      <c r="A7" t="s">
        <v>32</v>
      </c>
      <c r="B7" t="s">
        <v>19</v>
      </c>
      <c r="C7" s="1">
        <v>45905</v>
      </c>
      <c r="D7" t="s">
        <v>15</v>
      </c>
      <c r="E7" t="s">
        <v>33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t="s">
        <v>21</v>
      </c>
      <c r="M7">
        <v>15969</v>
      </c>
    </row>
    <row r="8" spans="1:13" x14ac:dyDescent="0.35">
      <c r="A8" t="s">
        <v>34</v>
      </c>
      <c r="B8" t="s">
        <v>23</v>
      </c>
      <c r="C8" s="1">
        <v>45467</v>
      </c>
      <c r="D8" t="s">
        <v>35</v>
      </c>
      <c r="E8" t="s">
        <v>36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t="s">
        <v>30</v>
      </c>
      <c r="M8">
        <v>8705</v>
      </c>
    </row>
    <row r="9" spans="1:13" x14ac:dyDescent="0.35">
      <c r="A9" t="s">
        <v>37</v>
      </c>
      <c r="B9" t="s">
        <v>23</v>
      </c>
      <c r="C9" s="1">
        <v>45486</v>
      </c>
      <c r="D9" t="s">
        <v>28</v>
      </c>
      <c r="E9" t="s">
        <v>38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t="s">
        <v>30</v>
      </c>
      <c r="M9">
        <v>20897</v>
      </c>
    </row>
    <row r="10" spans="1:13" x14ac:dyDescent="0.35">
      <c r="A10" t="s">
        <v>39</v>
      </c>
      <c r="B10" t="s">
        <v>14</v>
      </c>
      <c r="C10" s="1">
        <v>45534</v>
      </c>
      <c r="D10" t="s">
        <v>35</v>
      </c>
      <c r="E10" t="s">
        <v>20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t="s">
        <v>17</v>
      </c>
      <c r="M10">
        <v>8561</v>
      </c>
    </row>
    <row r="11" spans="1:13" x14ac:dyDescent="0.35">
      <c r="A11" t="s">
        <v>40</v>
      </c>
      <c r="B11" t="s">
        <v>41</v>
      </c>
      <c r="C11" s="1">
        <v>45727</v>
      </c>
      <c r="D11" t="s">
        <v>28</v>
      </c>
      <c r="E11" t="s">
        <v>42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t="s">
        <v>26</v>
      </c>
      <c r="M11">
        <v>21538</v>
      </c>
    </row>
    <row r="12" spans="1:13" x14ac:dyDescent="0.35">
      <c r="A12" t="s">
        <v>43</v>
      </c>
      <c r="B12" t="s">
        <v>14</v>
      </c>
      <c r="C12" s="1">
        <v>45690</v>
      </c>
      <c r="D12" t="s">
        <v>35</v>
      </c>
      <c r="E12" t="s">
        <v>29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t="s">
        <v>26</v>
      </c>
      <c r="M12">
        <v>14087</v>
      </c>
    </row>
    <row r="13" spans="1:13" x14ac:dyDescent="0.35">
      <c r="A13" t="s">
        <v>44</v>
      </c>
      <c r="B13" t="s">
        <v>14</v>
      </c>
      <c r="C13" s="1">
        <v>45494</v>
      </c>
      <c r="D13" t="s">
        <v>24</v>
      </c>
      <c r="E13" t="s">
        <v>20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t="s">
        <v>30</v>
      </c>
      <c r="M13">
        <v>3631</v>
      </c>
    </row>
    <row r="14" spans="1:13" x14ac:dyDescent="0.35">
      <c r="A14" t="s">
        <v>45</v>
      </c>
      <c r="B14" t="s">
        <v>14</v>
      </c>
      <c r="C14" s="1">
        <v>45614</v>
      </c>
      <c r="D14" t="s">
        <v>35</v>
      </c>
      <c r="E14" t="s">
        <v>36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t="s">
        <v>46</v>
      </c>
      <c r="M14">
        <v>23332</v>
      </c>
    </row>
    <row r="15" spans="1:13" x14ac:dyDescent="0.35">
      <c r="A15" t="s">
        <v>47</v>
      </c>
      <c r="B15" t="s">
        <v>14</v>
      </c>
      <c r="C15" s="1">
        <v>45906</v>
      </c>
      <c r="D15" t="s">
        <v>24</v>
      </c>
      <c r="E15" t="s">
        <v>38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t="s">
        <v>21</v>
      </c>
      <c r="M15">
        <v>8444</v>
      </c>
    </row>
    <row r="16" spans="1:13" x14ac:dyDescent="0.35">
      <c r="A16" t="s">
        <v>48</v>
      </c>
      <c r="B16" t="s">
        <v>19</v>
      </c>
      <c r="C16" s="1">
        <v>45907</v>
      </c>
      <c r="D16" t="s">
        <v>24</v>
      </c>
      <c r="E16" t="s">
        <v>25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t="s">
        <v>21</v>
      </c>
      <c r="M16">
        <v>4795</v>
      </c>
    </row>
    <row r="17" spans="1:13" x14ac:dyDescent="0.35">
      <c r="A17" t="s">
        <v>49</v>
      </c>
      <c r="B17" t="s">
        <v>23</v>
      </c>
      <c r="C17" s="1">
        <v>45530</v>
      </c>
      <c r="D17" t="s">
        <v>35</v>
      </c>
      <c r="E17" t="s">
        <v>38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t="s">
        <v>30</v>
      </c>
      <c r="M17">
        <v>5824</v>
      </c>
    </row>
    <row r="18" spans="1:13" x14ac:dyDescent="0.35">
      <c r="A18" t="s">
        <v>50</v>
      </c>
      <c r="B18" t="s">
        <v>19</v>
      </c>
      <c r="C18" s="1">
        <v>45782</v>
      </c>
      <c r="D18" t="s">
        <v>24</v>
      </c>
      <c r="E18" t="s">
        <v>51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t="s">
        <v>46</v>
      </c>
      <c r="M18">
        <v>12528</v>
      </c>
    </row>
    <row r="19" spans="1:13" x14ac:dyDescent="0.35">
      <c r="A19" t="s">
        <v>52</v>
      </c>
      <c r="B19" t="s">
        <v>19</v>
      </c>
      <c r="C19" s="1">
        <v>45523</v>
      </c>
      <c r="D19" t="s">
        <v>15</v>
      </c>
      <c r="E19" t="s">
        <v>38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t="s">
        <v>17</v>
      </c>
      <c r="M19">
        <v>16033</v>
      </c>
    </row>
    <row r="20" spans="1:13" x14ac:dyDescent="0.35">
      <c r="A20" t="s">
        <v>53</v>
      </c>
      <c r="B20" t="s">
        <v>19</v>
      </c>
      <c r="C20" s="1">
        <v>45466</v>
      </c>
      <c r="D20" t="s">
        <v>24</v>
      </c>
      <c r="E20" t="s">
        <v>51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t="s">
        <v>30</v>
      </c>
      <c r="M20">
        <v>18533</v>
      </c>
    </row>
    <row r="21" spans="1:13" x14ac:dyDescent="0.35">
      <c r="A21" t="s">
        <v>54</v>
      </c>
      <c r="B21" t="s">
        <v>14</v>
      </c>
      <c r="C21" s="1">
        <v>45544</v>
      </c>
      <c r="D21" t="s">
        <v>28</v>
      </c>
      <c r="E21" t="s">
        <v>25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t="s">
        <v>30</v>
      </c>
      <c r="M21">
        <v>6947</v>
      </c>
    </row>
    <row r="22" spans="1:13" x14ac:dyDescent="0.35">
      <c r="A22" t="s">
        <v>55</v>
      </c>
      <c r="B22" t="s">
        <v>41</v>
      </c>
      <c r="C22" s="1">
        <v>45908</v>
      </c>
      <c r="D22" t="s">
        <v>35</v>
      </c>
      <c r="E22" t="s">
        <v>56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t="s">
        <v>21</v>
      </c>
      <c r="M22">
        <v>23936</v>
      </c>
    </row>
    <row r="23" spans="1:13" x14ac:dyDescent="0.35">
      <c r="A23" t="s">
        <v>57</v>
      </c>
      <c r="B23" t="s">
        <v>23</v>
      </c>
      <c r="C23" s="1">
        <v>45715</v>
      </c>
      <c r="D23" t="s">
        <v>15</v>
      </c>
      <c r="E23" t="s">
        <v>36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t="s">
        <v>30</v>
      </c>
      <c r="M23">
        <v>10269</v>
      </c>
    </row>
    <row r="24" spans="1:13" x14ac:dyDescent="0.35">
      <c r="A24" t="s">
        <v>58</v>
      </c>
      <c r="B24" t="s">
        <v>41</v>
      </c>
      <c r="C24" s="1">
        <v>45602</v>
      </c>
      <c r="D24" t="s">
        <v>35</v>
      </c>
      <c r="E24" t="s">
        <v>51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t="s">
        <v>30</v>
      </c>
      <c r="M24">
        <v>10580</v>
      </c>
    </row>
    <row r="25" spans="1:13" x14ac:dyDescent="0.35">
      <c r="A25" t="s">
        <v>59</v>
      </c>
      <c r="B25" t="s">
        <v>19</v>
      </c>
      <c r="C25" s="1">
        <v>45680</v>
      </c>
      <c r="D25" t="s">
        <v>28</v>
      </c>
      <c r="E25" t="s">
        <v>42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t="s">
        <v>30</v>
      </c>
      <c r="M25">
        <v>24874</v>
      </c>
    </row>
    <row r="26" spans="1:13" x14ac:dyDescent="0.35">
      <c r="A26" t="s">
        <v>60</v>
      </c>
      <c r="B26" t="s">
        <v>19</v>
      </c>
      <c r="C26" s="1">
        <v>45909</v>
      </c>
      <c r="D26" t="s">
        <v>28</v>
      </c>
      <c r="E26" t="s">
        <v>38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t="s">
        <v>21</v>
      </c>
      <c r="M26">
        <v>16580</v>
      </c>
    </row>
    <row r="27" spans="1:13" x14ac:dyDescent="0.35">
      <c r="A27" t="s">
        <v>61</v>
      </c>
      <c r="B27" t="s">
        <v>41</v>
      </c>
      <c r="C27" s="1">
        <v>45752</v>
      </c>
      <c r="D27" t="s">
        <v>28</v>
      </c>
      <c r="E27" t="s">
        <v>38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t="s">
        <v>17</v>
      </c>
      <c r="M27">
        <v>23928</v>
      </c>
    </row>
    <row r="28" spans="1:13" x14ac:dyDescent="0.35">
      <c r="A28" t="s">
        <v>62</v>
      </c>
      <c r="B28" t="s">
        <v>41</v>
      </c>
      <c r="C28" s="1">
        <v>45552</v>
      </c>
      <c r="D28" t="s">
        <v>24</v>
      </c>
      <c r="E28" t="s">
        <v>42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t="s">
        <v>17</v>
      </c>
      <c r="M28">
        <v>20690</v>
      </c>
    </row>
    <row r="29" spans="1:13" x14ac:dyDescent="0.35">
      <c r="A29" t="s">
        <v>63</v>
      </c>
      <c r="B29" t="s">
        <v>41</v>
      </c>
      <c r="C29" s="1">
        <v>45720</v>
      </c>
      <c r="D29" t="s">
        <v>24</v>
      </c>
      <c r="E29" t="s">
        <v>33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t="s">
        <v>30</v>
      </c>
      <c r="M29">
        <v>13457</v>
      </c>
    </row>
    <row r="30" spans="1:13" x14ac:dyDescent="0.35">
      <c r="A30" t="s">
        <v>64</v>
      </c>
      <c r="B30" t="s">
        <v>19</v>
      </c>
      <c r="C30" s="1">
        <v>45910</v>
      </c>
      <c r="D30" t="s">
        <v>35</v>
      </c>
      <c r="E30" t="s">
        <v>65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t="s">
        <v>21</v>
      </c>
      <c r="M30">
        <v>11193</v>
      </c>
    </row>
    <row r="31" spans="1:13" x14ac:dyDescent="0.35">
      <c r="A31" t="s">
        <v>66</v>
      </c>
      <c r="B31" t="s">
        <v>19</v>
      </c>
      <c r="C31" s="1">
        <v>45713</v>
      </c>
      <c r="D31" t="s">
        <v>35</v>
      </c>
      <c r="E31" t="s">
        <v>56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t="s">
        <v>17</v>
      </c>
      <c r="M31">
        <v>11768</v>
      </c>
    </row>
    <row r="32" spans="1:13" x14ac:dyDescent="0.35">
      <c r="A32" t="s">
        <v>67</v>
      </c>
      <c r="B32" t="s">
        <v>23</v>
      </c>
      <c r="C32" s="1">
        <v>45642</v>
      </c>
      <c r="D32" t="s">
        <v>15</v>
      </c>
      <c r="E32" t="s">
        <v>29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t="s">
        <v>17</v>
      </c>
      <c r="M32">
        <v>3790</v>
      </c>
    </row>
    <row r="33" spans="1:13" x14ac:dyDescent="0.35">
      <c r="A33" t="s">
        <v>68</v>
      </c>
      <c r="B33" t="s">
        <v>23</v>
      </c>
      <c r="C33" s="1">
        <v>45504</v>
      </c>
      <c r="D33" t="s">
        <v>15</v>
      </c>
      <c r="E33" t="s">
        <v>51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t="s">
        <v>17</v>
      </c>
      <c r="M33">
        <v>3839</v>
      </c>
    </row>
    <row r="34" spans="1:13" x14ac:dyDescent="0.35">
      <c r="A34" t="s">
        <v>69</v>
      </c>
      <c r="B34" t="s">
        <v>19</v>
      </c>
      <c r="C34" s="1">
        <v>45911</v>
      </c>
      <c r="D34" t="s">
        <v>35</v>
      </c>
      <c r="E34" t="s">
        <v>42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t="s">
        <v>21</v>
      </c>
      <c r="M34">
        <v>11342</v>
      </c>
    </row>
    <row r="35" spans="1:13" x14ac:dyDescent="0.35">
      <c r="A35" t="s">
        <v>70</v>
      </c>
      <c r="B35" t="s">
        <v>41</v>
      </c>
      <c r="C35" s="1">
        <v>45912</v>
      </c>
      <c r="D35" t="s">
        <v>24</v>
      </c>
      <c r="E35" t="s">
        <v>25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t="s">
        <v>21</v>
      </c>
      <c r="M35">
        <v>18612</v>
      </c>
    </row>
    <row r="36" spans="1:13" x14ac:dyDescent="0.35">
      <c r="A36" t="s">
        <v>71</v>
      </c>
      <c r="B36" t="s">
        <v>41</v>
      </c>
      <c r="C36" s="1">
        <v>45626</v>
      </c>
      <c r="D36" t="s">
        <v>28</v>
      </c>
      <c r="E36" t="s">
        <v>51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t="s">
        <v>30</v>
      </c>
      <c r="M36">
        <v>15963</v>
      </c>
    </row>
    <row r="37" spans="1:13" x14ac:dyDescent="0.35">
      <c r="A37" t="s">
        <v>72</v>
      </c>
      <c r="B37" t="s">
        <v>23</v>
      </c>
      <c r="C37" s="1">
        <v>45766</v>
      </c>
      <c r="D37" t="s">
        <v>35</v>
      </c>
      <c r="E37" t="s">
        <v>65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t="s">
        <v>26</v>
      </c>
      <c r="M37">
        <v>21684</v>
      </c>
    </row>
    <row r="38" spans="1:13" x14ac:dyDescent="0.35">
      <c r="A38" t="s">
        <v>73</v>
      </c>
      <c r="B38" t="s">
        <v>19</v>
      </c>
      <c r="C38" s="1">
        <v>45663</v>
      </c>
      <c r="D38" t="s">
        <v>15</v>
      </c>
      <c r="E38" t="s">
        <v>25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t="s">
        <v>17</v>
      </c>
      <c r="M38">
        <v>14201</v>
      </c>
    </row>
    <row r="39" spans="1:13" x14ac:dyDescent="0.35">
      <c r="A39" t="s">
        <v>74</v>
      </c>
      <c r="B39" t="s">
        <v>23</v>
      </c>
      <c r="C39" s="1">
        <v>45705</v>
      </c>
      <c r="D39" t="s">
        <v>24</v>
      </c>
      <c r="E39" t="s">
        <v>20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t="s">
        <v>26</v>
      </c>
      <c r="M39">
        <v>9571</v>
      </c>
    </row>
    <row r="40" spans="1:13" x14ac:dyDescent="0.35">
      <c r="A40" t="s">
        <v>75</v>
      </c>
      <c r="B40" t="s">
        <v>23</v>
      </c>
      <c r="C40" s="1">
        <v>45913</v>
      </c>
      <c r="D40" t="s">
        <v>35</v>
      </c>
      <c r="E40" t="s">
        <v>36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t="s">
        <v>21</v>
      </c>
      <c r="M40">
        <v>18267</v>
      </c>
    </row>
    <row r="41" spans="1:13" x14ac:dyDescent="0.35">
      <c r="A41" t="s">
        <v>76</v>
      </c>
      <c r="B41" t="s">
        <v>14</v>
      </c>
      <c r="C41" s="1">
        <v>45914</v>
      </c>
      <c r="D41" t="s">
        <v>35</v>
      </c>
      <c r="E41" t="s">
        <v>38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t="s">
        <v>21</v>
      </c>
      <c r="M41">
        <v>21111</v>
      </c>
    </row>
    <row r="42" spans="1:13" x14ac:dyDescent="0.35">
      <c r="A42" t="s">
        <v>77</v>
      </c>
      <c r="B42" t="s">
        <v>14</v>
      </c>
      <c r="C42" s="1">
        <v>45915</v>
      </c>
      <c r="D42" t="s">
        <v>24</v>
      </c>
      <c r="E42" t="s">
        <v>20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t="s">
        <v>21</v>
      </c>
      <c r="M42">
        <v>6143</v>
      </c>
    </row>
    <row r="43" spans="1:13" x14ac:dyDescent="0.35">
      <c r="A43" t="s">
        <v>78</v>
      </c>
      <c r="B43" t="s">
        <v>14</v>
      </c>
      <c r="C43" s="1">
        <v>45721</v>
      </c>
      <c r="D43" t="s">
        <v>35</v>
      </c>
      <c r="E43" t="s">
        <v>51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t="s">
        <v>26</v>
      </c>
      <c r="M43">
        <v>14950</v>
      </c>
    </row>
    <row r="44" spans="1:13" x14ac:dyDescent="0.35">
      <c r="A44" t="s">
        <v>79</v>
      </c>
      <c r="B44" t="s">
        <v>41</v>
      </c>
      <c r="C44" s="1">
        <v>45916</v>
      </c>
      <c r="D44" t="s">
        <v>24</v>
      </c>
      <c r="E44" t="s">
        <v>65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t="s">
        <v>21</v>
      </c>
      <c r="M44">
        <v>8019</v>
      </c>
    </row>
    <row r="45" spans="1:13" x14ac:dyDescent="0.35">
      <c r="A45" t="s">
        <v>80</v>
      </c>
      <c r="B45" t="s">
        <v>19</v>
      </c>
      <c r="C45" s="1">
        <v>45718</v>
      </c>
      <c r="D45" t="s">
        <v>28</v>
      </c>
      <c r="E45" t="s">
        <v>56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t="s">
        <v>30</v>
      </c>
      <c r="M45">
        <v>24247</v>
      </c>
    </row>
    <row r="46" spans="1:13" x14ac:dyDescent="0.35">
      <c r="A46" t="s">
        <v>81</v>
      </c>
      <c r="B46" t="s">
        <v>19</v>
      </c>
      <c r="C46" s="1">
        <v>45917</v>
      </c>
      <c r="D46" t="s">
        <v>24</v>
      </c>
      <c r="E46" t="s">
        <v>36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t="s">
        <v>21</v>
      </c>
      <c r="M46">
        <v>16601</v>
      </c>
    </row>
    <row r="47" spans="1:13" x14ac:dyDescent="0.35">
      <c r="A47" t="s">
        <v>82</v>
      </c>
      <c r="B47" t="s">
        <v>19</v>
      </c>
      <c r="C47" s="1">
        <v>45779</v>
      </c>
      <c r="D47" t="s">
        <v>24</v>
      </c>
      <c r="E47" t="s">
        <v>51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t="s">
        <v>46</v>
      </c>
      <c r="M47">
        <v>19064</v>
      </c>
    </row>
    <row r="48" spans="1:13" x14ac:dyDescent="0.35">
      <c r="A48" t="s">
        <v>83</v>
      </c>
      <c r="B48" t="s">
        <v>19</v>
      </c>
      <c r="C48" s="1">
        <v>45712</v>
      </c>
      <c r="D48" t="s">
        <v>24</v>
      </c>
      <c r="E48" t="s">
        <v>42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t="s">
        <v>26</v>
      </c>
      <c r="M48">
        <v>26198</v>
      </c>
    </row>
    <row r="49" spans="1:13" x14ac:dyDescent="0.35">
      <c r="A49" t="s">
        <v>84</v>
      </c>
      <c r="B49" t="s">
        <v>14</v>
      </c>
      <c r="C49" s="1">
        <v>45727</v>
      </c>
      <c r="D49" t="s">
        <v>35</v>
      </c>
      <c r="E49" t="s">
        <v>16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t="s">
        <v>46</v>
      </c>
      <c r="M49">
        <v>9673</v>
      </c>
    </row>
    <row r="50" spans="1:13" x14ac:dyDescent="0.35">
      <c r="A50" t="s">
        <v>85</v>
      </c>
      <c r="B50" t="s">
        <v>41</v>
      </c>
      <c r="C50" s="1">
        <v>45918</v>
      </c>
      <c r="D50" t="s">
        <v>35</v>
      </c>
      <c r="E50" t="s">
        <v>51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t="s">
        <v>21</v>
      </c>
      <c r="M50">
        <v>5636</v>
      </c>
    </row>
    <row r="51" spans="1:13" x14ac:dyDescent="0.35">
      <c r="A51" t="s">
        <v>86</v>
      </c>
      <c r="B51" t="s">
        <v>41</v>
      </c>
      <c r="C51" s="1">
        <v>45476</v>
      </c>
      <c r="D51" t="s">
        <v>24</v>
      </c>
      <c r="E51" t="s">
        <v>36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t="s">
        <v>30</v>
      </c>
      <c r="M51">
        <v>16489</v>
      </c>
    </row>
    <row r="52" spans="1:13" x14ac:dyDescent="0.35">
      <c r="A52" t="s">
        <v>87</v>
      </c>
      <c r="B52" t="s">
        <v>14</v>
      </c>
      <c r="C52" s="1">
        <v>45456</v>
      </c>
      <c r="D52" t="s">
        <v>35</v>
      </c>
      <c r="E52" t="s">
        <v>38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t="s">
        <v>17</v>
      </c>
      <c r="M52">
        <v>25186</v>
      </c>
    </row>
    <row r="53" spans="1:13" x14ac:dyDescent="0.35">
      <c r="A53" t="s">
        <v>88</v>
      </c>
      <c r="B53" t="s">
        <v>41</v>
      </c>
      <c r="C53" s="1">
        <v>45919</v>
      </c>
      <c r="D53" t="s">
        <v>15</v>
      </c>
      <c r="E53" t="s">
        <v>38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t="s">
        <v>21</v>
      </c>
      <c r="M53">
        <v>20016</v>
      </c>
    </row>
    <row r="54" spans="1:13" x14ac:dyDescent="0.35">
      <c r="A54" t="s">
        <v>89</v>
      </c>
      <c r="B54" t="s">
        <v>14</v>
      </c>
      <c r="C54" s="1">
        <v>45712</v>
      </c>
      <c r="D54" t="s">
        <v>15</v>
      </c>
      <c r="E54" t="s">
        <v>51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t="s">
        <v>30</v>
      </c>
      <c r="M54">
        <v>24921</v>
      </c>
    </row>
    <row r="55" spans="1:13" x14ac:dyDescent="0.35">
      <c r="A55" t="s">
        <v>90</v>
      </c>
      <c r="B55" t="s">
        <v>19</v>
      </c>
      <c r="C55" s="1">
        <v>45729</v>
      </c>
      <c r="D55" t="s">
        <v>35</v>
      </c>
      <c r="E55" t="s">
        <v>25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t="s">
        <v>26</v>
      </c>
      <c r="M55">
        <v>8181</v>
      </c>
    </row>
    <row r="56" spans="1:13" x14ac:dyDescent="0.35">
      <c r="A56" t="s">
        <v>91</v>
      </c>
      <c r="B56" t="s">
        <v>14</v>
      </c>
      <c r="C56" s="1">
        <v>45460</v>
      </c>
      <c r="D56" t="s">
        <v>35</v>
      </c>
      <c r="E56" t="s">
        <v>16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t="s">
        <v>46</v>
      </c>
      <c r="M56">
        <v>8689</v>
      </c>
    </row>
    <row r="57" spans="1:13" x14ac:dyDescent="0.35">
      <c r="A57" t="s">
        <v>92</v>
      </c>
      <c r="B57" t="s">
        <v>19</v>
      </c>
      <c r="C57" s="1">
        <v>45644</v>
      </c>
      <c r="D57" t="s">
        <v>24</v>
      </c>
      <c r="E57" t="s">
        <v>42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t="s">
        <v>46</v>
      </c>
      <c r="M57">
        <v>16635</v>
      </c>
    </row>
    <row r="58" spans="1:13" x14ac:dyDescent="0.35">
      <c r="A58" t="s">
        <v>93</v>
      </c>
      <c r="B58" t="s">
        <v>19</v>
      </c>
      <c r="C58" s="1">
        <v>45586</v>
      </c>
      <c r="D58" t="s">
        <v>28</v>
      </c>
      <c r="E58" t="s">
        <v>51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t="s">
        <v>46</v>
      </c>
      <c r="M58">
        <v>14209</v>
      </c>
    </row>
    <row r="59" spans="1:13" x14ac:dyDescent="0.35">
      <c r="A59" t="s">
        <v>94</v>
      </c>
      <c r="B59" t="s">
        <v>23</v>
      </c>
      <c r="C59" s="1">
        <v>45762</v>
      </c>
      <c r="D59" t="s">
        <v>35</v>
      </c>
      <c r="E59" t="s">
        <v>25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t="s">
        <v>26</v>
      </c>
      <c r="M59">
        <v>7225</v>
      </c>
    </row>
    <row r="60" spans="1:13" x14ac:dyDescent="0.35">
      <c r="A60" t="s">
        <v>95</v>
      </c>
      <c r="B60" t="s">
        <v>14</v>
      </c>
      <c r="C60" s="1">
        <v>45465</v>
      </c>
      <c r="D60" t="s">
        <v>15</v>
      </c>
      <c r="E60" t="s">
        <v>38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t="s">
        <v>30</v>
      </c>
      <c r="M60">
        <v>17432</v>
      </c>
    </row>
    <row r="61" spans="1:13" x14ac:dyDescent="0.35">
      <c r="A61" t="s">
        <v>96</v>
      </c>
      <c r="B61" t="s">
        <v>23</v>
      </c>
      <c r="C61" s="1">
        <v>45685</v>
      </c>
      <c r="D61" t="s">
        <v>24</v>
      </c>
      <c r="E61" t="s">
        <v>38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t="s">
        <v>26</v>
      </c>
      <c r="M61">
        <v>11347</v>
      </c>
    </row>
    <row r="62" spans="1:13" x14ac:dyDescent="0.35">
      <c r="A62" t="s">
        <v>97</v>
      </c>
      <c r="B62" t="s">
        <v>14</v>
      </c>
      <c r="C62" s="1">
        <v>45540</v>
      </c>
      <c r="D62" t="s">
        <v>35</v>
      </c>
      <c r="E62" t="s">
        <v>65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t="s">
        <v>46</v>
      </c>
      <c r="M62">
        <v>17234</v>
      </c>
    </row>
    <row r="63" spans="1:13" x14ac:dyDescent="0.35">
      <c r="A63" t="s">
        <v>98</v>
      </c>
      <c r="B63" t="s">
        <v>14</v>
      </c>
      <c r="C63" s="1">
        <v>45920</v>
      </c>
      <c r="D63" t="s">
        <v>15</v>
      </c>
      <c r="E63" t="s">
        <v>51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t="s">
        <v>21</v>
      </c>
      <c r="M63">
        <v>19733</v>
      </c>
    </row>
    <row r="64" spans="1:13" x14ac:dyDescent="0.35">
      <c r="A64" t="s">
        <v>99</v>
      </c>
      <c r="B64" t="s">
        <v>23</v>
      </c>
      <c r="C64" s="1">
        <v>45504</v>
      </c>
      <c r="D64" t="s">
        <v>15</v>
      </c>
      <c r="E64" t="s">
        <v>16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t="s">
        <v>17</v>
      </c>
      <c r="M64">
        <v>13672</v>
      </c>
    </row>
    <row r="65" spans="1:13" x14ac:dyDescent="0.35">
      <c r="A65" t="s">
        <v>100</v>
      </c>
      <c r="B65" t="s">
        <v>23</v>
      </c>
      <c r="C65" s="1">
        <v>45521</v>
      </c>
      <c r="D65" t="s">
        <v>28</v>
      </c>
      <c r="E65" t="s">
        <v>33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t="s">
        <v>26</v>
      </c>
      <c r="M65">
        <v>20868</v>
      </c>
    </row>
    <row r="66" spans="1:13" x14ac:dyDescent="0.35">
      <c r="A66" t="s">
        <v>101</v>
      </c>
      <c r="B66" t="s">
        <v>14</v>
      </c>
      <c r="C66" s="1">
        <v>45744</v>
      </c>
      <c r="D66" t="s">
        <v>24</v>
      </c>
      <c r="E66" t="s">
        <v>16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t="s">
        <v>26</v>
      </c>
      <c r="M66">
        <v>7926</v>
      </c>
    </row>
    <row r="67" spans="1:13" x14ac:dyDescent="0.35">
      <c r="A67" t="s">
        <v>102</v>
      </c>
      <c r="B67" t="s">
        <v>41</v>
      </c>
      <c r="C67" s="1">
        <v>45499</v>
      </c>
      <c r="D67" t="s">
        <v>24</v>
      </c>
      <c r="E67" t="s">
        <v>38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t="s">
        <v>30</v>
      </c>
      <c r="M67">
        <v>14043</v>
      </c>
    </row>
    <row r="68" spans="1:13" x14ac:dyDescent="0.35">
      <c r="A68" t="s">
        <v>103</v>
      </c>
      <c r="B68" t="s">
        <v>19</v>
      </c>
      <c r="C68" s="1">
        <v>45745</v>
      </c>
      <c r="D68" t="s">
        <v>28</v>
      </c>
      <c r="E68" t="s">
        <v>38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t="s">
        <v>30</v>
      </c>
      <c r="M68">
        <v>21288</v>
      </c>
    </row>
    <row r="69" spans="1:13" x14ac:dyDescent="0.35">
      <c r="A69" t="s">
        <v>104</v>
      </c>
      <c r="B69" t="s">
        <v>23</v>
      </c>
      <c r="C69" s="1">
        <v>45634</v>
      </c>
      <c r="D69" t="s">
        <v>28</v>
      </c>
      <c r="E69" t="s">
        <v>20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t="s">
        <v>26</v>
      </c>
      <c r="M69">
        <v>11607</v>
      </c>
    </row>
    <row r="70" spans="1:13" x14ac:dyDescent="0.35">
      <c r="A70" t="s">
        <v>105</v>
      </c>
      <c r="B70" t="s">
        <v>19</v>
      </c>
      <c r="C70" s="1">
        <v>45724</v>
      </c>
      <c r="D70" t="s">
        <v>24</v>
      </c>
      <c r="E70" t="s">
        <v>38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t="s">
        <v>46</v>
      </c>
      <c r="M70">
        <v>11797</v>
      </c>
    </row>
    <row r="71" spans="1:13" x14ac:dyDescent="0.35">
      <c r="A71" t="s">
        <v>106</v>
      </c>
      <c r="B71" t="s">
        <v>41</v>
      </c>
      <c r="C71" s="1">
        <v>45749</v>
      </c>
      <c r="D71" t="s">
        <v>24</v>
      </c>
      <c r="E71" t="s">
        <v>42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t="s">
        <v>17</v>
      </c>
      <c r="M71">
        <v>7639</v>
      </c>
    </row>
    <row r="72" spans="1:13" x14ac:dyDescent="0.35">
      <c r="A72" t="s">
        <v>107</v>
      </c>
      <c r="B72" t="s">
        <v>41</v>
      </c>
      <c r="C72" s="1">
        <v>45537</v>
      </c>
      <c r="D72" t="s">
        <v>35</v>
      </c>
      <c r="E72" t="s">
        <v>29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t="s">
        <v>30</v>
      </c>
      <c r="M72">
        <v>13397</v>
      </c>
    </row>
    <row r="73" spans="1:13" x14ac:dyDescent="0.35">
      <c r="A73" t="s">
        <v>108</v>
      </c>
      <c r="B73" t="s">
        <v>41</v>
      </c>
      <c r="C73" s="1">
        <v>45719</v>
      </c>
      <c r="D73" t="s">
        <v>35</v>
      </c>
      <c r="E73" t="s">
        <v>51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t="s">
        <v>46</v>
      </c>
      <c r="M73">
        <v>25907</v>
      </c>
    </row>
    <row r="74" spans="1:13" x14ac:dyDescent="0.35">
      <c r="A74" t="s">
        <v>109</v>
      </c>
      <c r="B74" t="s">
        <v>23</v>
      </c>
      <c r="C74" s="1">
        <v>45921</v>
      </c>
      <c r="D74" t="s">
        <v>28</v>
      </c>
      <c r="E74" t="s">
        <v>16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t="s">
        <v>21</v>
      </c>
      <c r="M74">
        <v>24674</v>
      </c>
    </row>
    <row r="75" spans="1:13" x14ac:dyDescent="0.35">
      <c r="A75" t="s">
        <v>110</v>
      </c>
      <c r="B75" t="s">
        <v>41</v>
      </c>
      <c r="C75" s="1">
        <v>45593</v>
      </c>
      <c r="D75" t="s">
        <v>35</v>
      </c>
      <c r="E75" t="s">
        <v>29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t="s">
        <v>30</v>
      </c>
      <c r="M75">
        <v>22856</v>
      </c>
    </row>
    <row r="76" spans="1:13" x14ac:dyDescent="0.35">
      <c r="A76" t="s">
        <v>111</v>
      </c>
      <c r="B76" t="s">
        <v>23</v>
      </c>
      <c r="C76" s="1">
        <v>45505</v>
      </c>
      <c r="D76" t="s">
        <v>15</v>
      </c>
      <c r="E76" t="s">
        <v>25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t="s">
        <v>46</v>
      </c>
      <c r="M76">
        <v>23326</v>
      </c>
    </row>
    <row r="77" spans="1:13" x14ac:dyDescent="0.35">
      <c r="A77" t="s">
        <v>112</v>
      </c>
      <c r="B77" t="s">
        <v>41</v>
      </c>
      <c r="C77" s="1">
        <v>45603</v>
      </c>
      <c r="D77" t="s">
        <v>35</v>
      </c>
      <c r="E77" t="s">
        <v>33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t="s">
        <v>46</v>
      </c>
      <c r="M77">
        <v>18452</v>
      </c>
    </row>
    <row r="78" spans="1:13" x14ac:dyDescent="0.35">
      <c r="A78" t="s">
        <v>113</v>
      </c>
      <c r="B78" t="s">
        <v>19</v>
      </c>
      <c r="C78" s="1">
        <v>45720</v>
      </c>
      <c r="D78" t="s">
        <v>35</v>
      </c>
      <c r="E78" t="s">
        <v>42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t="s">
        <v>17</v>
      </c>
      <c r="M78">
        <v>14273</v>
      </c>
    </row>
    <row r="79" spans="1:13" x14ac:dyDescent="0.35">
      <c r="A79" t="s">
        <v>114</v>
      </c>
      <c r="B79" t="s">
        <v>19</v>
      </c>
      <c r="C79" s="1">
        <v>45460</v>
      </c>
      <c r="D79" t="s">
        <v>15</v>
      </c>
      <c r="E79" t="s">
        <v>36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t="s">
        <v>17</v>
      </c>
      <c r="M79">
        <v>4942</v>
      </c>
    </row>
    <row r="80" spans="1:13" x14ac:dyDescent="0.35">
      <c r="A80" t="s">
        <v>115</v>
      </c>
      <c r="B80" t="s">
        <v>14</v>
      </c>
      <c r="C80" s="1">
        <v>45922</v>
      </c>
      <c r="D80" t="s">
        <v>28</v>
      </c>
      <c r="E80" t="s">
        <v>116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t="s">
        <v>21</v>
      </c>
      <c r="M80">
        <v>9703</v>
      </c>
    </row>
    <row r="81" spans="1:13" x14ac:dyDescent="0.35">
      <c r="A81" t="s">
        <v>117</v>
      </c>
      <c r="B81" t="s">
        <v>19</v>
      </c>
      <c r="C81" s="1">
        <v>45456</v>
      </c>
      <c r="D81" t="s">
        <v>15</v>
      </c>
      <c r="E81" t="s">
        <v>16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t="s">
        <v>46</v>
      </c>
      <c r="M81">
        <v>14724</v>
      </c>
    </row>
    <row r="82" spans="1:13" x14ac:dyDescent="0.35">
      <c r="A82" t="s">
        <v>118</v>
      </c>
      <c r="B82" t="s">
        <v>14</v>
      </c>
      <c r="C82" s="1">
        <v>45584</v>
      </c>
      <c r="D82" t="s">
        <v>35</v>
      </c>
      <c r="E82" t="s">
        <v>29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t="s">
        <v>46</v>
      </c>
      <c r="M82">
        <v>7820</v>
      </c>
    </row>
    <row r="83" spans="1:13" x14ac:dyDescent="0.35">
      <c r="A83" t="s">
        <v>119</v>
      </c>
      <c r="B83" t="s">
        <v>19</v>
      </c>
      <c r="C83" s="1">
        <v>45497</v>
      </c>
      <c r="D83" t="s">
        <v>28</v>
      </c>
      <c r="E83" t="s">
        <v>36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t="s">
        <v>17</v>
      </c>
      <c r="M83">
        <v>24452</v>
      </c>
    </row>
    <row r="84" spans="1:13" x14ac:dyDescent="0.35">
      <c r="A84" t="s">
        <v>120</v>
      </c>
      <c r="B84" t="s">
        <v>23</v>
      </c>
      <c r="C84" s="1">
        <v>45580</v>
      </c>
      <c r="D84" t="s">
        <v>35</v>
      </c>
      <c r="E84" t="s">
        <v>33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t="s">
        <v>30</v>
      </c>
      <c r="M84">
        <v>19401</v>
      </c>
    </row>
    <row r="85" spans="1:13" x14ac:dyDescent="0.35">
      <c r="A85" t="s">
        <v>121</v>
      </c>
      <c r="B85" t="s">
        <v>19</v>
      </c>
      <c r="C85" s="1">
        <v>45635</v>
      </c>
      <c r="D85" t="s">
        <v>15</v>
      </c>
      <c r="E85" t="s">
        <v>20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t="s">
        <v>30</v>
      </c>
      <c r="M85">
        <v>15570</v>
      </c>
    </row>
    <row r="86" spans="1:13" x14ac:dyDescent="0.35">
      <c r="A86" t="s">
        <v>122</v>
      </c>
      <c r="B86" t="s">
        <v>14</v>
      </c>
      <c r="C86" s="1">
        <v>45766</v>
      </c>
      <c r="D86" t="s">
        <v>15</v>
      </c>
      <c r="E86" t="s">
        <v>36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t="s">
        <v>26</v>
      </c>
      <c r="M86">
        <v>9764</v>
      </c>
    </row>
    <row r="87" spans="1:13" x14ac:dyDescent="0.35">
      <c r="A87" t="s">
        <v>123</v>
      </c>
      <c r="B87" t="s">
        <v>14</v>
      </c>
      <c r="C87" s="1">
        <v>45684</v>
      </c>
      <c r="D87" t="s">
        <v>35</v>
      </c>
      <c r="E87" t="s">
        <v>42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t="s">
        <v>17</v>
      </c>
      <c r="M87">
        <v>10850</v>
      </c>
    </row>
    <row r="88" spans="1:13" x14ac:dyDescent="0.35">
      <c r="A88" t="s">
        <v>124</v>
      </c>
      <c r="B88" t="s">
        <v>41</v>
      </c>
      <c r="C88" s="1">
        <v>45449</v>
      </c>
      <c r="D88" t="s">
        <v>24</v>
      </c>
      <c r="E88" t="s">
        <v>42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t="s">
        <v>26</v>
      </c>
      <c r="M88">
        <v>13354</v>
      </c>
    </row>
    <row r="89" spans="1:13" x14ac:dyDescent="0.35">
      <c r="A89" t="s">
        <v>125</v>
      </c>
      <c r="B89" t="s">
        <v>23</v>
      </c>
      <c r="C89" s="1">
        <v>45480</v>
      </c>
      <c r="D89" t="s">
        <v>24</v>
      </c>
      <c r="E89" t="s">
        <v>20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t="s">
        <v>17</v>
      </c>
      <c r="M89">
        <v>25567</v>
      </c>
    </row>
    <row r="90" spans="1:13" x14ac:dyDescent="0.35">
      <c r="A90" t="s">
        <v>126</v>
      </c>
      <c r="B90" t="s">
        <v>19</v>
      </c>
      <c r="C90" s="1">
        <v>45923</v>
      </c>
      <c r="D90" t="s">
        <v>15</v>
      </c>
      <c r="E90" t="s">
        <v>116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t="s">
        <v>21</v>
      </c>
      <c r="M90">
        <v>12340</v>
      </c>
    </row>
    <row r="91" spans="1:13" x14ac:dyDescent="0.35">
      <c r="A91" t="s">
        <v>127</v>
      </c>
      <c r="B91" t="s">
        <v>41</v>
      </c>
      <c r="C91" s="1">
        <v>45446</v>
      </c>
      <c r="D91" t="s">
        <v>15</v>
      </c>
      <c r="E91" t="s">
        <v>51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t="s">
        <v>46</v>
      </c>
      <c r="M91">
        <v>10018</v>
      </c>
    </row>
    <row r="92" spans="1:13" x14ac:dyDescent="0.35">
      <c r="A92" t="s">
        <v>128</v>
      </c>
      <c r="B92" t="s">
        <v>19</v>
      </c>
      <c r="C92" s="1">
        <v>45924</v>
      </c>
      <c r="D92" t="s">
        <v>24</v>
      </c>
      <c r="E92" t="s">
        <v>36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t="s">
        <v>21</v>
      </c>
      <c r="M92">
        <v>12910</v>
      </c>
    </row>
    <row r="93" spans="1:13" x14ac:dyDescent="0.35">
      <c r="A93" t="s">
        <v>129</v>
      </c>
      <c r="B93" t="s">
        <v>19</v>
      </c>
      <c r="C93" s="1">
        <v>45586</v>
      </c>
      <c r="D93" t="s">
        <v>24</v>
      </c>
      <c r="E93" t="s">
        <v>20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t="s">
        <v>17</v>
      </c>
      <c r="M93">
        <v>21447</v>
      </c>
    </row>
    <row r="94" spans="1:13" x14ac:dyDescent="0.35">
      <c r="A94" t="s">
        <v>130</v>
      </c>
      <c r="B94" t="s">
        <v>41</v>
      </c>
      <c r="C94" s="1">
        <v>45637</v>
      </c>
      <c r="D94" t="s">
        <v>35</v>
      </c>
      <c r="E94" t="s">
        <v>42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t="s">
        <v>46</v>
      </c>
      <c r="M94">
        <v>24162</v>
      </c>
    </row>
    <row r="95" spans="1:13" x14ac:dyDescent="0.35">
      <c r="A95" t="s">
        <v>131</v>
      </c>
      <c r="B95" t="s">
        <v>41</v>
      </c>
      <c r="C95" s="1">
        <v>45603</v>
      </c>
      <c r="D95" t="s">
        <v>35</v>
      </c>
      <c r="E95" t="s">
        <v>42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t="s">
        <v>30</v>
      </c>
      <c r="M95">
        <v>12697</v>
      </c>
    </row>
    <row r="96" spans="1:13" x14ac:dyDescent="0.35">
      <c r="A96" t="s">
        <v>132</v>
      </c>
      <c r="B96" t="s">
        <v>41</v>
      </c>
      <c r="C96" s="1">
        <v>45604</v>
      </c>
      <c r="D96" t="s">
        <v>24</v>
      </c>
      <c r="E96" t="s">
        <v>29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t="s">
        <v>30</v>
      </c>
      <c r="M96">
        <v>25025</v>
      </c>
    </row>
    <row r="97" spans="1:13" x14ac:dyDescent="0.35">
      <c r="A97" t="s">
        <v>133</v>
      </c>
      <c r="B97" t="s">
        <v>41</v>
      </c>
      <c r="C97" s="1">
        <v>45545</v>
      </c>
      <c r="D97" t="s">
        <v>35</v>
      </c>
      <c r="E97" t="s">
        <v>38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t="s">
        <v>26</v>
      </c>
      <c r="M97">
        <v>7393</v>
      </c>
    </row>
    <row r="98" spans="1:13" x14ac:dyDescent="0.35">
      <c r="A98" t="s">
        <v>134</v>
      </c>
      <c r="B98" t="s">
        <v>41</v>
      </c>
      <c r="C98" s="1">
        <v>45517</v>
      </c>
      <c r="D98" t="s">
        <v>35</v>
      </c>
      <c r="E98" t="s">
        <v>116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t="s">
        <v>17</v>
      </c>
      <c r="M98">
        <v>7738</v>
      </c>
    </row>
    <row r="99" spans="1:13" x14ac:dyDescent="0.35">
      <c r="A99" t="s">
        <v>135</v>
      </c>
      <c r="B99" t="s">
        <v>19</v>
      </c>
      <c r="C99" s="1">
        <v>45453</v>
      </c>
      <c r="D99" t="s">
        <v>28</v>
      </c>
      <c r="E99" t="s">
        <v>36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t="s">
        <v>17</v>
      </c>
      <c r="M99">
        <v>22642</v>
      </c>
    </row>
    <row r="100" spans="1:13" x14ac:dyDescent="0.35">
      <c r="A100" t="s">
        <v>136</v>
      </c>
      <c r="B100" t="s">
        <v>41</v>
      </c>
      <c r="C100" s="1">
        <v>45475</v>
      </c>
      <c r="D100" t="s">
        <v>35</v>
      </c>
      <c r="E100" t="s">
        <v>36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t="s">
        <v>30</v>
      </c>
      <c r="M100">
        <v>13842</v>
      </c>
    </row>
    <row r="101" spans="1:13" x14ac:dyDescent="0.35">
      <c r="A101" t="s">
        <v>137</v>
      </c>
      <c r="B101" t="s">
        <v>23</v>
      </c>
      <c r="C101" s="1">
        <v>45925</v>
      </c>
      <c r="D101" t="s">
        <v>15</v>
      </c>
      <c r="E101" t="s">
        <v>33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t="s">
        <v>21</v>
      </c>
      <c r="M101">
        <v>22485</v>
      </c>
    </row>
    <row r="102" spans="1:13" x14ac:dyDescent="0.35">
      <c r="A102" t="s">
        <v>138</v>
      </c>
      <c r="B102" t="s">
        <v>14</v>
      </c>
      <c r="C102" s="1">
        <v>45583</v>
      </c>
      <c r="D102" t="s">
        <v>35</v>
      </c>
      <c r="E102" t="s">
        <v>20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t="s">
        <v>46</v>
      </c>
      <c r="M102">
        <v>9001</v>
      </c>
    </row>
    <row r="103" spans="1:13" x14ac:dyDescent="0.35">
      <c r="A103" t="s">
        <v>139</v>
      </c>
      <c r="B103" t="s">
        <v>41</v>
      </c>
      <c r="C103" s="1">
        <v>45926</v>
      </c>
      <c r="D103" t="s">
        <v>35</v>
      </c>
      <c r="E103" t="s">
        <v>33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t="s">
        <v>21</v>
      </c>
      <c r="M103">
        <v>11045</v>
      </c>
    </row>
    <row r="104" spans="1:13" x14ac:dyDescent="0.35">
      <c r="A104" t="s">
        <v>140</v>
      </c>
      <c r="B104" t="s">
        <v>41</v>
      </c>
      <c r="C104" s="1">
        <v>45927</v>
      </c>
      <c r="D104" t="s">
        <v>24</v>
      </c>
      <c r="E104" t="s">
        <v>20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t="s">
        <v>21</v>
      </c>
      <c r="M104">
        <v>19778</v>
      </c>
    </row>
    <row r="105" spans="1:13" x14ac:dyDescent="0.35">
      <c r="A105" t="s">
        <v>141</v>
      </c>
      <c r="B105" t="s">
        <v>19</v>
      </c>
      <c r="C105" s="1">
        <v>45739</v>
      </c>
      <c r="D105" t="s">
        <v>15</v>
      </c>
      <c r="E105" t="s">
        <v>25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t="s">
        <v>30</v>
      </c>
      <c r="M105">
        <v>26469</v>
      </c>
    </row>
    <row r="106" spans="1:13" x14ac:dyDescent="0.35">
      <c r="A106" t="s">
        <v>142</v>
      </c>
      <c r="B106" t="s">
        <v>41</v>
      </c>
      <c r="C106" s="1">
        <v>45457</v>
      </c>
      <c r="D106" t="s">
        <v>35</v>
      </c>
      <c r="E106" t="s">
        <v>42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t="s">
        <v>30</v>
      </c>
      <c r="M106">
        <v>23693</v>
      </c>
    </row>
    <row r="107" spans="1:13" x14ac:dyDescent="0.35">
      <c r="A107" t="s">
        <v>143</v>
      </c>
      <c r="B107" t="s">
        <v>41</v>
      </c>
      <c r="C107" s="1">
        <v>45692</v>
      </c>
      <c r="D107" t="s">
        <v>35</v>
      </c>
      <c r="E107" t="s">
        <v>38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t="s">
        <v>30</v>
      </c>
      <c r="M107">
        <v>24911</v>
      </c>
    </row>
    <row r="108" spans="1:13" x14ac:dyDescent="0.35">
      <c r="A108" t="s">
        <v>144</v>
      </c>
      <c r="B108" t="s">
        <v>41</v>
      </c>
      <c r="C108" s="1">
        <v>45464</v>
      </c>
      <c r="D108" t="s">
        <v>28</v>
      </c>
      <c r="E108" t="s">
        <v>29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t="s">
        <v>26</v>
      </c>
      <c r="M108">
        <v>23282</v>
      </c>
    </row>
    <row r="109" spans="1:13" x14ac:dyDescent="0.35">
      <c r="A109" t="s">
        <v>145</v>
      </c>
      <c r="B109" t="s">
        <v>19</v>
      </c>
      <c r="C109" s="1">
        <v>45928</v>
      </c>
      <c r="D109" t="s">
        <v>35</v>
      </c>
      <c r="E109" t="s">
        <v>38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t="s">
        <v>21</v>
      </c>
      <c r="M109">
        <v>23668</v>
      </c>
    </row>
    <row r="110" spans="1:13" x14ac:dyDescent="0.35">
      <c r="A110" t="s">
        <v>146</v>
      </c>
      <c r="B110" t="s">
        <v>41</v>
      </c>
      <c r="C110" s="1">
        <v>45512</v>
      </c>
      <c r="D110" t="s">
        <v>35</v>
      </c>
      <c r="E110" t="s">
        <v>38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t="s">
        <v>17</v>
      </c>
      <c r="M110">
        <v>26128</v>
      </c>
    </row>
    <row r="111" spans="1:13" x14ac:dyDescent="0.35">
      <c r="A111" t="s">
        <v>147</v>
      </c>
      <c r="B111" t="s">
        <v>14</v>
      </c>
      <c r="C111" s="1">
        <v>45502</v>
      </c>
      <c r="D111" t="s">
        <v>28</v>
      </c>
      <c r="E111" t="s">
        <v>38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t="s">
        <v>46</v>
      </c>
      <c r="M111">
        <v>7105</v>
      </c>
    </row>
    <row r="112" spans="1:13" x14ac:dyDescent="0.35">
      <c r="A112" t="s">
        <v>148</v>
      </c>
      <c r="B112" t="s">
        <v>19</v>
      </c>
      <c r="C112" s="1">
        <v>45619</v>
      </c>
      <c r="D112" t="s">
        <v>24</v>
      </c>
      <c r="E112" t="s">
        <v>33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t="s">
        <v>26</v>
      </c>
      <c r="M112">
        <v>11508</v>
      </c>
    </row>
    <row r="113" spans="1:13" x14ac:dyDescent="0.35">
      <c r="A113" t="s">
        <v>149</v>
      </c>
      <c r="B113" t="s">
        <v>14</v>
      </c>
      <c r="C113" s="1">
        <v>45570</v>
      </c>
      <c r="D113" t="s">
        <v>35</v>
      </c>
      <c r="E113" t="s">
        <v>20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t="s">
        <v>17</v>
      </c>
      <c r="M113">
        <v>18013</v>
      </c>
    </row>
    <row r="114" spans="1:13" x14ac:dyDescent="0.35">
      <c r="A114" t="s">
        <v>150</v>
      </c>
      <c r="B114" t="s">
        <v>19</v>
      </c>
      <c r="C114" s="1">
        <v>45929</v>
      </c>
      <c r="D114" t="s">
        <v>28</v>
      </c>
      <c r="E114" t="s">
        <v>56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t="s">
        <v>21</v>
      </c>
      <c r="M114">
        <v>9176</v>
      </c>
    </row>
    <row r="115" spans="1:13" x14ac:dyDescent="0.35">
      <c r="A115" t="s">
        <v>151</v>
      </c>
      <c r="B115" t="s">
        <v>41</v>
      </c>
      <c r="C115" s="1">
        <v>45610</v>
      </c>
      <c r="D115" t="s">
        <v>15</v>
      </c>
      <c r="E115" t="s">
        <v>25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t="s">
        <v>30</v>
      </c>
      <c r="M115">
        <v>8233</v>
      </c>
    </row>
    <row r="116" spans="1:13" x14ac:dyDescent="0.35">
      <c r="A116" t="s">
        <v>152</v>
      </c>
      <c r="B116" t="s">
        <v>14</v>
      </c>
      <c r="C116" s="1">
        <v>45930</v>
      </c>
      <c r="D116" t="s">
        <v>24</v>
      </c>
      <c r="E116" t="s">
        <v>16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t="s">
        <v>21</v>
      </c>
      <c r="M116">
        <v>9157</v>
      </c>
    </row>
    <row r="117" spans="1:13" x14ac:dyDescent="0.35">
      <c r="A117" t="s">
        <v>153</v>
      </c>
      <c r="B117" t="s">
        <v>19</v>
      </c>
      <c r="C117" s="1">
        <v>45734</v>
      </c>
      <c r="D117" t="s">
        <v>15</v>
      </c>
      <c r="E117" t="s">
        <v>38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t="s">
        <v>46</v>
      </c>
      <c r="M117">
        <v>7757</v>
      </c>
    </row>
    <row r="118" spans="1:13" x14ac:dyDescent="0.35">
      <c r="A118" t="s">
        <v>154</v>
      </c>
      <c r="B118" t="s">
        <v>23</v>
      </c>
      <c r="C118" s="1">
        <v>45600</v>
      </c>
      <c r="D118" t="s">
        <v>15</v>
      </c>
      <c r="E118" t="s">
        <v>51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t="s">
        <v>26</v>
      </c>
      <c r="M118">
        <v>15189</v>
      </c>
    </row>
    <row r="119" spans="1:13" x14ac:dyDescent="0.35">
      <c r="A119" t="s">
        <v>155</v>
      </c>
      <c r="B119" t="s">
        <v>41</v>
      </c>
      <c r="C119" s="1">
        <v>45600</v>
      </c>
      <c r="D119" t="s">
        <v>28</v>
      </c>
      <c r="E119" t="s">
        <v>33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t="s">
        <v>26</v>
      </c>
      <c r="M119">
        <v>15684</v>
      </c>
    </row>
    <row r="120" spans="1:13" x14ac:dyDescent="0.35">
      <c r="A120" t="s">
        <v>156</v>
      </c>
      <c r="B120" t="s">
        <v>19</v>
      </c>
      <c r="C120" s="1">
        <v>45695</v>
      </c>
      <c r="D120" t="s">
        <v>35</v>
      </c>
      <c r="E120" t="s">
        <v>116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t="s">
        <v>46</v>
      </c>
      <c r="M120">
        <v>21836</v>
      </c>
    </row>
    <row r="121" spans="1:13" x14ac:dyDescent="0.35">
      <c r="A121" t="s">
        <v>157</v>
      </c>
      <c r="B121" t="s">
        <v>23</v>
      </c>
      <c r="C121" s="1">
        <v>45586</v>
      </c>
      <c r="D121" t="s">
        <v>28</v>
      </c>
      <c r="E121" t="s">
        <v>29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t="s">
        <v>17</v>
      </c>
      <c r="M121">
        <v>9824</v>
      </c>
    </row>
    <row r="122" spans="1:13" x14ac:dyDescent="0.35">
      <c r="A122" t="s">
        <v>158</v>
      </c>
      <c r="B122" t="s">
        <v>19</v>
      </c>
      <c r="C122" s="1">
        <v>45502</v>
      </c>
      <c r="D122" t="s">
        <v>28</v>
      </c>
      <c r="E122" t="s">
        <v>16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t="s">
        <v>17</v>
      </c>
      <c r="M122">
        <v>21186</v>
      </c>
    </row>
    <row r="123" spans="1:13" x14ac:dyDescent="0.35">
      <c r="A123" t="s">
        <v>159</v>
      </c>
      <c r="B123" t="s">
        <v>23</v>
      </c>
      <c r="C123" s="1">
        <v>45567</v>
      </c>
      <c r="D123" t="s">
        <v>28</v>
      </c>
      <c r="E123" t="s">
        <v>56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t="s">
        <v>26</v>
      </c>
      <c r="M123">
        <v>10924</v>
      </c>
    </row>
    <row r="124" spans="1:13" x14ac:dyDescent="0.35">
      <c r="A124" t="s">
        <v>160</v>
      </c>
      <c r="B124" t="s">
        <v>41</v>
      </c>
      <c r="C124" s="1">
        <v>45457</v>
      </c>
      <c r="D124" t="s">
        <v>28</v>
      </c>
      <c r="E124" t="s">
        <v>51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t="s">
        <v>26</v>
      </c>
      <c r="M124">
        <v>19350</v>
      </c>
    </row>
    <row r="125" spans="1:13" x14ac:dyDescent="0.35">
      <c r="A125" t="s">
        <v>161</v>
      </c>
      <c r="B125" t="s">
        <v>14</v>
      </c>
      <c r="C125" s="1">
        <v>45753</v>
      </c>
      <c r="D125" t="s">
        <v>24</v>
      </c>
      <c r="E125" t="s">
        <v>56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t="s">
        <v>30</v>
      </c>
      <c r="M125">
        <v>9239</v>
      </c>
    </row>
    <row r="126" spans="1:13" x14ac:dyDescent="0.35">
      <c r="A126" t="s">
        <v>162</v>
      </c>
      <c r="B126" t="s">
        <v>23</v>
      </c>
      <c r="C126" s="1">
        <v>45543</v>
      </c>
      <c r="D126" t="s">
        <v>35</v>
      </c>
      <c r="E126" t="s">
        <v>16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t="s">
        <v>17</v>
      </c>
      <c r="M126">
        <v>9059</v>
      </c>
    </row>
    <row r="127" spans="1:13" x14ac:dyDescent="0.35">
      <c r="A127" t="s">
        <v>163</v>
      </c>
      <c r="B127" t="s">
        <v>19</v>
      </c>
      <c r="C127" s="1">
        <v>45744</v>
      </c>
      <c r="D127" t="s">
        <v>15</v>
      </c>
      <c r="E127" t="s">
        <v>38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t="s">
        <v>46</v>
      </c>
      <c r="M127">
        <v>15312</v>
      </c>
    </row>
    <row r="128" spans="1:13" x14ac:dyDescent="0.35">
      <c r="A128" t="s">
        <v>164</v>
      </c>
      <c r="B128" t="s">
        <v>41</v>
      </c>
      <c r="C128" s="1">
        <v>45684</v>
      </c>
      <c r="D128" t="s">
        <v>15</v>
      </c>
      <c r="E128" t="s">
        <v>51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t="s">
        <v>17</v>
      </c>
      <c r="M128">
        <v>26206</v>
      </c>
    </row>
    <row r="129" spans="1:13" x14ac:dyDescent="0.35">
      <c r="A129" t="s">
        <v>165</v>
      </c>
      <c r="B129" t="s">
        <v>23</v>
      </c>
      <c r="C129" s="1">
        <v>45667</v>
      </c>
      <c r="D129" t="s">
        <v>35</v>
      </c>
      <c r="E129" t="s">
        <v>56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t="s">
        <v>30</v>
      </c>
      <c r="M129">
        <v>16299</v>
      </c>
    </row>
    <row r="130" spans="1:13" x14ac:dyDescent="0.35">
      <c r="A130" t="s">
        <v>166</v>
      </c>
      <c r="B130" t="s">
        <v>19</v>
      </c>
      <c r="C130" s="1">
        <v>45494</v>
      </c>
      <c r="D130" t="s">
        <v>15</v>
      </c>
      <c r="E130" t="s">
        <v>29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t="s">
        <v>26</v>
      </c>
      <c r="M130">
        <v>14049</v>
      </c>
    </row>
    <row r="131" spans="1:13" x14ac:dyDescent="0.35">
      <c r="A131" t="s">
        <v>167</v>
      </c>
      <c r="B131" t="s">
        <v>19</v>
      </c>
      <c r="C131" s="1">
        <v>45564</v>
      </c>
      <c r="D131" t="s">
        <v>35</v>
      </c>
      <c r="E131" t="s">
        <v>20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t="s">
        <v>26</v>
      </c>
      <c r="M131">
        <v>11541</v>
      </c>
    </row>
    <row r="132" spans="1:13" x14ac:dyDescent="0.35">
      <c r="A132" t="s">
        <v>168</v>
      </c>
      <c r="B132" t="s">
        <v>19</v>
      </c>
      <c r="C132" s="1">
        <v>45586</v>
      </c>
      <c r="D132" t="s">
        <v>15</v>
      </c>
      <c r="E132" t="s">
        <v>42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t="s">
        <v>30</v>
      </c>
      <c r="M132">
        <v>21069</v>
      </c>
    </row>
    <row r="133" spans="1:13" x14ac:dyDescent="0.35">
      <c r="A133" t="s">
        <v>169</v>
      </c>
      <c r="B133" t="s">
        <v>23</v>
      </c>
      <c r="C133" s="1">
        <v>45720</v>
      </c>
      <c r="D133" t="s">
        <v>28</v>
      </c>
      <c r="E133" t="s">
        <v>20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t="s">
        <v>46</v>
      </c>
      <c r="M133">
        <v>6419</v>
      </c>
    </row>
    <row r="134" spans="1:13" x14ac:dyDescent="0.35">
      <c r="A134" t="s">
        <v>170</v>
      </c>
      <c r="B134" t="s">
        <v>23</v>
      </c>
      <c r="C134" s="1">
        <v>45694</v>
      </c>
      <c r="D134" t="s">
        <v>15</v>
      </c>
      <c r="E134" t="s">
        <v>16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t="s">
        <v>26</v>
      </c>
      <c r="M134">
        <v>4791</v>
      </c>
    </row>
    <row r="135" spans="1:13" x14ac:dyDescent="0.35">
      <c r="A135" t="s">
        <v>171</v>
      </c>
      <c r="B135" t="s">
        <v>23</v>
      </c>
      <c r="C135" s="1">
        <v>45931</v>
      </c>
      <c r="D135" t="s">
        <v>35</v>
      </c>
      <c r="E135" t="s">
        <v>33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t="s">
        <v>21</v>
      </c>
      <c r="M135">
        <v>7609</v>
      </c>
    </row>
    <row r="136" spans="1:13" x14ac:dyDescent="0.35">
      <c r="A136" t="s">
        <v>172</v>
      </c>
      <c r="B136" t="s">
        <v>14</v>
      </c>
      <c r="C136" s="1">
        <v>45624</v>
      </c>
      <c r="D136" t="s">
        <v>35</v>
      </c>
      <c r="E136" t="s">
        <v>42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t="s">
        <v>26</v>
      </c>
      <c r="M136">
        <v>20474</v>
      </c>
    </row>
    <row r="137" spans="1:13" x14ac:dyDescent="0.35">
      <c r="A137" t="s">
        <v>173</v>
      </c>
      <c r="B137" t="s">
        <v>23</v>
      </c>
      <c r="C137" s="1">
        <v>45932</v>
      </c>
      <c r="D137" t="s">
        <v>35</v>
      </c>
      <c r="E137" t="s">
        <v>25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t="s">
        <v>21</v>
      </c>
      <c r="M137">
        <v>13773</v>
      </c>
    </row>
    <row r="138" spans="1:13" x14ac:dyDescent="0.35">
      <c r="A138" t="s">
        <v>174</v>
      </c>
      <c r="B138" t="s">
        <v>23</v>
      </c>
      <c r="C138" s="1">
        <v>45504</v>
      </c>
      <c r="D138" t="s">
        <v>35</v>
      </c>
      <c r="E138" t="s">
        <v>29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t="s">
        <v>30</v>
      </c>
      <c r="M138">
        <v>14214</v>
      </c>
    </row>
    <row r="139" spans="1:13" x14ac:dyDescent="0.35">
      <c r="A139" t="s">
        <v>175</v>
      </c>
      <c r="B139" t="s">
        <v>23</v>
      </c>
      <c r="C139" s="1">
        <v>45745</v>
      </c>
      <c r="D139" t="s">
        <v>35</v>
      </c>
      <c r="E139" t="s">
        <v>25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t="s">
        <v>30</v>
      </c>
      <c r="M139">
        <v>24836</v>
      </c>
    </row>
    <row r="140" spans="1:13" x14ac:dyDescent="0.35">
      <c r="A140" t="s">
        <v>176</v>
      </c>
      <c r="B140" t="s">
        <v>14</v>
      </c>
      <c r="C140" s="1">
        <v>45594</v>
      </c>
      <c r="D140" t="s">
        <v>24</v>
      </c>
      <c r="E140" t="s">
        <v>51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t="s">
        <v>26</v>
      </c>
      <c r="M140">
        <v>25774</v>
      </c>
    </row>
    <row r="141" spans="1:13" x14ac:dyDescent="0.35">
      <c r="A141" t="s">
        <v>177</v>
      </c>
      <c r="B141" t="s">
        <v>23</v>
      </c>
      <c r="C141" s="1">
        <v>45488</v>
      </c>
      <c r="D141" t="s">
        <v>24</v>
      </c>
      <c r="E141" t="s">
        <v>36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t="s">
        <v>17</v>
      </c>
      <c r="M141">
        <v>16086</v>
      </c>
    </row>
    <row r="142" spans="1:13" x14ac:dyDescent="0.35">
      <c r="A142" t="s">
        <v>178</v>
      </c>
      <c r="B142" t="s">
        <v>19</v>
      </c>
      <c r="C142" s="1">
        <v>45933</v>
      </c>
      <c r="D142" t="s">
        <v>15</v>
      </c>
      <c r="E142" t="s">
        <v>42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t="s">
        <v>21</v>
      </c>
      <c r="M142">
        <v>7945</v>
      </c>
    </row>
    <row r="143" spans="1:13" x14ac:dyDescent="0.35">
      <c r="A143" t="s">
        <v>179</v>
      </c>
      <c r="B143" t="s">
        <v>23</v>
      </c>
      <c r="C143" s="1">
        <v>45741</v>
      </c>
      <c r="D143" t="s">
        <v>35</v>
      </c>
      <c r="E143" t="s">
        <v>25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t="s">
        <v>46</v>
      </c>
      <c r="M143">
        <v>7038</v>
      </c>
    </row>
    <row r="144" spans="1:13" x14ac:dyDescent="0.35">
      <c r="A144" t="s">
        <v>180</v>
      </c>
      <c r="B144" t="s">
        <v>19</v>
      </c>
      <c r="C144" s="1">
        <v>45567</v>
      </c>
      <c r="D144" t="s">
        <v>15</v>
      </c>
      <c r="E144" t="s">
        <v>25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t="s">
        <v>26</v>
      </c>
      <c r="M144">
        <v>17194</v>
      </c>
    </row>
    <row r="145" spans="1:13" x14ac:dyDescent="0.35">
      <c r="A145" t="s">
        <v>181</v>
      </c>
      <c r="B145" t="s">
        <v>19</v>
      </c>
      <c r="C145" s="1">
        <v>45593</v>
      </c>
      <c r="D145" t="s">
        <v>35</v>
      </c>
      <c r="E145" t="s">
        <v>56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t="s">
        <v>46</v>
      </c>
      <c r="M145">
        <v>10883</v>
      </c>
    </row>
    <row r="146" spans="1:13" x14ac:dyDescent="0.35">
      <c r="A146" t="s">
        <v>182</v>
      </c>
      <c r="B146" t="s">
        <v>19</v>
      </c>
      <c r="C146" s="1">
        <v>45516</v>
      </c>
      <c r="D146" t="s">
        <v>35</v>
      </c>
      <c r="E146" t="s">
        <v>20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t="s">
        <v>26</v>
      </c>
      <c r="M146">
        <v>9952</v>
      </c>
    </row>
    <row r="147" spans="1:13" x14ac:dyDescent="0.35">
      <c r="A147" t="s">
        <v>183</v>
      </c>
      <c r="B147" t="s">
        <v>14</v>
      </c>
      <c r="C147" s="1">
        <v>45448</v>
      </c>
      <c r="D147" t="s">
        <v>24</v>
      </c>
      <c r="E147" t="s">
        <v>56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t="s">
        <v>17</v>
      </c>
      <c r="M147">
        <v>20657</v>
      </c>
    </row>
    <row r="148" spans="1:13" x14ac:dyDescent="0.35">
      <c r="A148" t="s">
        <v>184</v>
      </c>
      <c r="B148" t="s">
        <v>14</v>
      </c>
      <c r="C148" s="1">
        <v>45586</v>
      </c>
      <c r="D148" t="s">
        <v>24</v>
      </c>
      <c r="E148" t="s">
        <v>42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t="s">
        <v>17</v>
      </c>
      <c r="M148">
        <v>22047</v>
      </c>
    </row>
    <row r="149" spans="1:13" x14ac:dyDescent="0.35">
      <c r="A149" t="s">
        <v>185</v>
      </c>
      <c r="B149" t="s">
        <v>14</v>
      </c>
      <c r="C149" s="1">
        <v>45762</v>
      </c>
      <c r="D149" t="s">
        <v>28</v>
      </c>
      <c r="E149" t="s">
        <v>42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t="s">
        <v>17</v>
      </c>
      <c r="M149">
        <v>22680</v>
      </c>
    </row>
    <row r="150" spans="1:13" x14ac:dyDescent="0.35">
      <c r="A150" t="s">
        <v>186</v>
      </c>
      <c r="B150" t="s">
        <v>23</v>
      </c>
      <c r="C150" s="1">
        <v>45459</v>
      </c>
      <c r="D150" t="s">
        <v>24</v>
      </c>
      <c r="E150" t="s">
        <v>16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t="s">
        <v>17</v>
      </c>
      <c r="M150">
        <v>14334</v>
      </c>
    </row>
    <row r="151" spans="1:13" x14ac:dyDescent="0.35">
      <c r="A151" t="s">
        <v>187</v>
      </c>
      <c r="B151" t="s">
        <v>19</v>
      </c>
      <c r="C151" s="1">
        <v>45526</v>
      </c>
      <c r="D151" t="s">
        <v>28</v>
      </c>
      <c r="E151" t="s">
        <v>56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t="s">
        <v>30</v>
      </c>
      <c r="M151">
        <v>17324</v>
      </c>
    </row>
    <row r="152" spans="1:13" x14ac:dyDescent="0.35">
      <c r="A152" t="s">
        <v>188</v>
      </c>
      <c r="B152" t="s">
        <v>14</v>
      </c>
      <c r="C152" s="1">
        <v>45499</v>
      </c>
      <c r="D152" t="s">
        <v>28</v>
      </c>
      <c r="E152" t="s">
        <v>65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t="s">
        <v>30</v>
      </c>
      <c r="M152">
        <v>19468</v>
      </c>
    </row>
    <row r="153" spans="1:13" x14ac:dyDescent="0.35">
      <c r="A153" t="s">
        <v>189</v>
      </c>
      <c r="B153" t="s">
        <v>14</v>
      </c>
      <c r="C153" s="1">
        <v>45934</v>
      </c>
      <c r="D153" t="s">
        <v>28</v>
      </c>
      <c r="E153" t="s">
        <v>116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t="s">
        <v>21</v>
      </c>
      <c r="M153">
        <v>14138</v>
      </c>
    </row>
    <row r="154" spans="1:13" x14ac:dyDescent="0.35">
      <c r="A154" t="s">
        <v>190</v>
      </c>
      <c r="B154" t="s">
        <v>23</v>
      </c>
      <c r="C154" s="1">
        <v>45658</v>
      </c>
      <c r="D154" t="s">
        <v>28</v>
      </c>
      <c r="E154" t="s">
        <v>20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t="s">
        <v>46</v>
      </c>
      <c r="M154">
        <v>25763</v>
      </c>
    </row>
    <row r="155" spans="1:13" x14ac:dyDescent="0.35">
      <c r="A155" t="s">
        <v>191</v>
      </c>
      <c r="B155" t="s">
        <v>14</v>
      </c>
      <c r="C155" s="1">
        <v>45574</v>
      </c>
      <c r="D155" t="s">
        <v>28</v>
      </c>
      <c r="E155" t="s">
        <v>42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t="s">
        <v>26</v>
      </c>
      <c r="M155">
        <v>9578</v>
      </c>
    </row>
    <row r="156" spans="1:13" x14ac:dyDescent="0.35">
      <c r="A156" t="s">
        <v>192</v>
      </c>
      <c r="B156" t="s">
        <v>23</v>
      </c>
      <c r="C156" s="1">
        <v>45647</v>
      </c>
      <c r="D156" t="s">
        <v>15</v>
      </c>
      <c r="E156" t="s">
        <v>16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t="s">
        <v>26</v>
      </c>
      <c r="M156">
        <v>13149</v>
      </c>
    </row>
    <row r="157" spans="1:13" x14ac:dyDescent="0.35">
      <c r="A157" t="s">
        <v>193</v>
      </c>
      <c r="B157" t="s">
        <v>41</v>
      </c>
      <c r="C157" s="1">
        <v>45587</v>
      </c>
      <c r="D157" t="s">
        <v>24</v>
      </c>
      <c r="E157" t="s">
        <v>36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t="s">
        <v>30</v>
      </c>
      <c r="M157">
        <v>13294</v>
      </c>
    </row>
    <row r="158" spans="1:13" x14ac:dyDescent="0.35">
      <c r="A158" t="s">
        <v>194</v>
      </c>
      <c r="B158" t="s">
        <v>14</v>
      </c>
      <c r="C158" s="1">
        <v>45496</v>
      </c>
      <c r="D158" t="s">
        <v>28</v>
      </c>
      <c r="E158" t="s">
        <v>56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t="s">
        <v>26</v>
      </c>
      <c r="M158">
        <v>25652</v>
      </c>
    </row>
    <row r="159" spans="1:13" x14ac:dyDescent="0.35">
      <c r="A159" t="s">
        <v>195</v>
      </c>
      <c r="B159" t="s">
        <v>41</v>
      </c>
      <c r="C159" s="1">
        <v>45515</v>
      </c>
      <c r="D159" t="s">
        <v>35</v>
      </c>
      <c r="E159" t="s">
        <v>20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t="s">
        <v>30</v>
      </c>
      <c r="M159">
        <v>15784</v>
      </c>
    </row>
    <row r="160" spans="1:13" x14ac:dyDescent="0.35">
      <c r="A160" t="s">
        <v>196</v>
      </c>
      <c r="B160" t="s">
        <v>23</v>
      </c>
      <c r="C160" s="1">
        <v>45935</v>
      </c>
      <c r="D160" t="s">
        <v>24</v>
      </c>
      <c r="E160" t="s">
        <v>36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t="s">
        <v>21</v>
      </c>
      <c r="M160">
        <v>22799</v>
      </c>
    </row>
    <row r="161" spans="1:13" x14ac:dyDescent="0.35">
      <c r="A161" t="s">
        <v>197</v>
      </c>
      <c r="B161" t="s">
        <v>19</v>
      </c>
      <c r="C161" s="1">
        <v>45528</v>
      </c>
      <c r="D161" t="s">
        <v>24</v>
      </c>
      <c r="E161" t="s">
        <v>56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t="s">
        <v>46</v>
      </c>
      <c r="M161">
        <v>24038</v>
      </c>
    </row>
    <row r="162" spans="1:13" x14ac:dyDescent="0.35">
      <c r="A162" t="s">
        <v>198</v>
      </c>
      <c r="B162" t="s">
        <v>14</v>
      </c>
      <c r="C162" s="1">
        <v>45936</v>
      </c>
      <c r="D162" t="s">
        <v>28</v>
      </c>
      <c r="E162" t="s">
        <v>25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t="s">
        <v>21</v>
      </c>
      <c r="M162">
        <v>23048</v>
      </c>
    </row>
    <row r="163" spans="1:13" x14ac:dyDescent="0.35">
      <c r="A163" t="s">
        <v>199</v>
      </c>
      <c r="B163" t="s">
        <v>23</v>
      </c>
      <c r="C163" s="1">
        <v>45748</v>
      </c>
      <c r="D163" t="s">
        <v>15</v>
      </c>
      <c r="E163" t="s">
        <v>36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t="s">
        <v>17</v>
      </c>
      <c r="M163">
        <v>8202</v>
      </c>
    </row>
    <row r="164" spans="1:13" x14ac:dyDescent="0.35">
      <c r="A164" t="s">
        <v>200</v>
      </c>
      <c r="B164" t="s">
        <v>19</v>
      </c>
      <c r="C164" s="1">
        <v>45755</v>
      </c>
      <c r="D164" t="s">
        <v>28</v>
      </c>
      <c r="E164" t="s">
        <v>16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t="s">
        <v>17</v>
      </c>
      <c r="M164">
        <v>17280</v>
      </c>
    </row>
    <row r="165" spans="1:13" x14ac:dyDescent="0.35">
      <c r="A165" t="s">
        <v>201</v>
      </c>
      <c r="B165" t="s">
        <v>19</v>
      </c>
      <c r="C165" s="1">
        <v>45715</v>
      </c>
      <c r="D165" t="s">
        <v>15</v>
      </c>
      <c r="E165" t="s">
        <v>20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t="s">
        <v>17</v>
      </c>
      <c r="M165">
        <v>18097</v>
      </c>
    </row>
    <row r="166" spans="1:13" x14ac:dyDescent="0.35">
      <c r="A166" t="s">
        <v>202</v>
      </c>
      <c r="B166" t="s">
        <v>41</v>
      </c>
      <c r="C166" s="1">
        <v>45937</v>
      </c>
      <c r="D166" t="s">
        <v>35</v>
      </c>
      <c r="E166" t="s">
        <v>38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t="s">
        <v>21</v>
      </c>
      <c r="M166">
        <v>21277</v>
      </c>
    </row>
    <row r="167" spans="1:13" x14ac:dyDescent="0.35">
      <c r="A167" t="s">
        <v>203</v>
      </c>
      <c r="B167" t="s">
        <v>23</v>
      </c>
      <c r="C167" s="1">
        <v>45704</v>
      </c>
      <c r="D167" t="s">
        <v>24</v>
      </c>
      <c r="E167" t="s">
        <v>51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t="s">
        <v>26</v>
      </c>
      <c r="M167">
        <v>25248</v>
      </c>
    </row>
    <row r="168" spans="1:13" x14ac:dyDescent="0.35">
      <c r="A168" t="s">
        <v>204</v>
      </c>
      <c r="B168" t="s">
        <v>19</v>
      </c>
      <c r="C168" s="1">
        <v>45624</v>
      </c>
      <c r="D168" t="s">
        <v>35</v>
      </c>
      <c r="E168" t="s">
        <v>51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t="s">
        <v>46</v>
      </c>
      <c r="M168">
        <v>3291</v>
      </c>
    </row>
    <row r="169" spans="1:13" x14ac:dyDescent="0.35">
      <c r="A169" t="s">
        <v>205</v>
      </c>
      <c r="B169" t="s">
        <v>14</v>
      </c>
      <c r="C169" s="1">
        <v>45608</v>
      </c>
      <c r="D169" t="s">
        <v>15</v>
      </c>
      <c r="E169" t="s">
        <v>20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t="s">
        <v>17</v>
      </c>
      <c r="M169">
        <v>20138</v>
      </c>
    </row>
    <row r="170" spans="1:13" x14ac:dyDescent="0.35">
      <c r="A170" t="s">
        <v>206</v>
      </c>
      <c r="B170" t="s">
        <v>14</v>
      </c>
      <c r="C170" s="1">
        <v>45629</v>
      </c>
      <c r="D170" t="s">
        <v>15</v>
      </c>
      <c r="E170" t="s">
        <v>36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t="s">
        <v>17</v>
      </c>
      <c r="M170">
        <v>2987</v>
      </c>
    </row>
    <row r="171" spans="1:13" x14ac:dyDescent="0.35">
      <c r="A171" t="s">
        <v>207</v>
      </c>
      <c r="B171" t="s">
        <v>41</v>
      </c>
      <c r="C171" s="1">
        <v>45775</v>
      </c>
      <c r="D171" t="s">
        <v>35</v>
      </c>
      <c r="E171" t="s">
        <v>56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t="s">
        <v>17</v>
      </c>
      <c r="M171">
        <v>16898</v>
      </c>
    </row>
    <row r="172" spans="1:13" x14ac:dyDescent="0.35">
      <c r="A172" t="s">
        <v>208</v>
      </c>
      <c r="B172" t="s">
        <v>19</v>
      </c>
      <c r="C172" s="1">
        <v>45657</v>
      </c>
      <c r="D172" t="s">
        <v>15</v>
      </c>
      <c r="E172" t="s">
        <v>16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t="s">
        <v>46</v>
      </c>
      <c r="M172">
        <v>11937</v>
      </c>
    </row>
    <row r="173" spans="1:13" x14ac:dyDescent="0.35">
      <c r="A173" t="s">
        <v>209</v>
      </c>
      <c r="B173" t="s">
        <v>23</v>
      </c>
      <c r="C173" s="1">
        <v>45518</v>
      </c>
      <c r="D173" t="s">
        <v>35</v>
      </c>
      <c r="E173" t="s">
        <v>116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t="s">
        <v>17</v>
      </c>
      <c r="M173">
        <v>11564</v>
      </c>
    </row>
    <row r="174" spans="1:13" x14ac:dyDescent="0.35">
      <c r="A174" t="s">
        <v>210</v>
      </c>
      <c r="B174" t="s">
        <v>14</v>
      </c>
      <c r="C174" s="1">
        <v>45631</v>
      </c>
      <c r="D174" t="s">
        <v>24</v>
      </c>
      <c r="E174" t="s">
        <v>51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t="s">
        <v>46</v>
      </c>
      <c r="M174">
        <v>5808</v>
      </c>
    </row>
    <row r="175" spans="1:13" x14ac:dyDescent="0.35">
      <c r="A175" t="s">
        <v>211</v>
      </c>
      <c r="B175" t="s">
        <v>19</v>
      </c>
      <c r="C175" s="1">
        <v>45465</v>
      </c>
      <c r="D175" t="s">
        <v>35</v>
      </c>
      <c r="E175" t="s">
        <v>16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t="s">
        <v>17</v>
      </c>
      <c r="M175">
        <v>15363</v>
      </c>
    </row>
    <row r="176" spans="1:13" x14ac:dyDescent="0.35">
      <c r="A176" t="s">
        <v>212</v>
      </c>
      <c r="B176" t="s">
        <v>19</v>
      </c>
      <c r="C176" s="1">
        <v>45938</v>
      </c>
      <c r="D176" t="s">
        <v>24</v>
      </c>
      <c r="E176" t="s">
        <v>51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t="s">
        <v>21</v>
      </c>
      <c r="M176">
        <v>18722</v>
      </c>
    </row>
    <row r="177" spans="1:13" x14ac:dyDescent="0.35">
      <c r="A177" t="s">
        <v>213</v>
      </c>
      <c r="B177" t="s">
        <v>41</v>
      </c>
      <c r="C177" s="1">
        <v>45939</v>
      </c>
      <c r="D177" t="s">
        <v>35</v>
      </c>
      <c r="E177" t="s">
        <v>25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t="s">
        <v>21</v>
      </c>
      <c r="M177">
        <v>19782</v>
      </c>
    </row>
    <row r="178" spans="1:13" x14ac:dyDescent="0.35">
      <c r="A178" t="s">
        <v>214</v>
      </c>
      <c r="B178" t="s">
        <v>14</v>
      </c>
      <c r="C178" s="1">
        <v>45483</v>
      </c>
      <c r="D178" t="s">
        <v>15</v>
      </c>
      <c r="E178" t="s">
        <v>56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t="s">
        <v>46</v>
      </c>
      <c r="M178">
        <v>10868</v>
      </c>
    </row>
    <row r="179" spans="1:13" x14ac:dyDescent="0.35">
      <c r="A179" t="s">
        <v>215</v>
      </c>
      <c r="B179" t="s">
        <v>14</v>
      </c>
      <c r="C179" s="1">
        <v>45940</v>
      </c>
      <c r="D179" t="s">
        <v>35</v>
      </c>
      <c r="E179" t="s">
        <v>25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t="s">
        <v>21</v>
      </c>
      <c r="M179">
        <v>8473</v>
      </c>
    </row>
    <row r="180" spans="1:13" x14ac:dyDescent="0.35">
      <c r="A180" t="s">
        <v>216</v>
      </c>
      <c r="B180" t="s">
        <v>23</v>
      </c>
      <c r="C180" s="1">
        <v>45488</v>
      </c>
      <c r="D180" t="s">
        <v>15</v>
      </c>
      <c r="E180" t="s">
        <v>51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t="s">
        <v>46</v>
      </c>
      <c r="M180">
        <v>17555</v>
      </c>
    </row>
    <row r="181" spans="1:13" x14ac:dyDescent="0.35">
      <c r="A181" t="s">
        <v>217</v>
      </c>
      <c r="B181" t="s">
        <v>14</v>
      </c>
      <c r="C181" s="1">
        <v>45941</v>
      </c>
      <c r="D181" t="s">
        <v>35</v>
      </c>
      <c r="E181" t="s">
        <v>38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t="s">
        <v>21</v>
      </c>
      <c r="M181">
        <v>16915</v>
      </c>
    </row>
    <row r="182" spans="1:13" x14ac:dyDescent="0.35">
      <c r="A182" t="s">
        <v>218</v>
      </c>
      <c r="B182" t="s">
        <v>23</v>
      </c>
      <c r="C182" s="1">
        <v>45942</v>
      </c>
      <c r="D182" t="s">
        <v>35</v>
      </c>
      <c r="E182" t="s">
        <v>38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t="s">
        <v>21</v>
      </c>
      <c r="M182">
        <v>8175</v>
      </c>
    </row>
    <row r="183" spans="1:13" x14ac:dyDescent="0.35">
      <c r="A183" t="s">
        <v>219</v>
      </c>
      <c r="B183" t="s">
        <v>14</v>
      </c>
      <c r="C183" s="1">
        <v>45504</v>
      </c>
      <c r="D183" t="s">
        <v>28</v>
      </c>
      <c r="E183" t="s">
        <v>25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t="s">
        <v>46</v>
      </c>
      <c r="M183">
        <v>8507</v>
      </c>
    </row>
    <row r="184" spans="1:13" x14ac:dyDescent="0.35">
      <c r="A184" t="s">
        <v>220</v>
      </c>
      <c r="B184" t="s">
        <v>41</v>
      </c>
      <c r="C184" s="1">
        <v>45643</v>
      </c>
      <c r="D184" t="s">
        <v>15</v>
      </c>
      <c r="E184" t="s">
        <v>38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t="s">
        <v>26</v>
      </c>
      <c r="M184">
        <v>21403</v>
      </c>
    </row>
    <row r="185" spans="1:13" x14ac:dyDescent="0.35">
      <c r="A185" t="s">
        <v>221</v>
      </c>
      <c r="B185" t="s">
        <v>14</v>
      </c>
      <c r="C185" s="1">
        <v>45943</v>
      </c>
      <c r="D185" t="s">
        <v>28</v>
      </c>
      <c r="E185" t="s">
        <v>51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t="s">
        <v>21</v>
      </c>
      <c r="M185">
        <v>20857</v>
      </c>
    </row>
    <row r="186" spans="1:13" x14ac:dyDescent="0.35">
      <c r="A186" t="s">
        <v>222</v>
      </c>
      <c r="B186" t="s">
        <v>23</v>
      </c>
      <c r="C186" s="1">
        <v>45668</v>
      </c>
      <c r="D186" t="s">
        <v>15</v>
      </c>
      <c r="E186" t="s">
        <v>20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t="s">
        <v>17</v>
      </c>
      <c r="M186">
        <v>23386</v>
      </c>
    </row>
    <row r="187" spans="1:13" x14ac:dyDescent="0.35">
      <c r="A187" t="s">
        <v>223</v>
      </c>
      <c r="B187" t="s">
        <v>23</v>
      </c>
      <c r="C187" s="1">
        <v>45528</v>
      </c>
      <c r="D187" t="s">
        <v>28</v>
      </c>
      <c r="E187" t="s">
        <v>25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t="s">
        <v>26</v>
      </c>
      <c r="M187">
        <v>25285</v>
      </c>
    </row>
    <row r="188" spans="1:13" x14ac:dyDescent="0.35">
      <c r="A188" t="s">
        <v>224</v>
      </c>
      <c r="B188" t="s">
        <v>41</v>
      </c>
      <c r="C188" s="1">
        <v>45648</v>
      </c>
      <c r="D188" t="s">
        <v>24</v>
      </c>
      <c r="E188" t="s">
        <v>116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t="s">
        <v>46</v>
      </c>
      <c r="M188">
        <v>9464</v>
      </c>
    </row>
    <row r="189" spans="1:13" x14ac:dyDescent="0.35">
      <c r="A189" t="s">
        <v>225</v>
      </c>
      <c r="B189" t="s">
        <v>14</v>
      </c>
      <c r="C189" s="1">
        <v>45449</v>
      </c>
      <c r="D189" t="s">
        <v>35</v>
      </c>
      <c r="E189" t="s">
        <v>116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t="s">
        <v>26</v>
      </c>
      <c r="M189">
        <v>4787</v>
      </c>
    </row>
    <row r="190" spans="1:13" x14ac:dyDescent="0.35">
      <c r="A190" t="s">
        <v>226</v>
      </c>
      <c r="B190" t="s">
        <v>14</v>
      </c>
      <c r="C190" s="1">
        <v>45740</v>
      </c>
      <c r="D190" t="s">
        <v>15</v>
      </c>
      <c r="E190" t="s">
        <v>33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t="s">
        <v>30</v>
      </c>
      <c r="M190">
        <v>11964</v>
      </c>
    </row>
    <row r="191" spans="1:13" x14ac:dyDescent="0.35">
      <c r="A191" t="s">
        <v>227</v>
      </c>
      <c r="B191" t="s">
        <v>41</v>
      </c>
      <c r="C191" s="1">
        <v>45569</v>
      </c>
      <c r="D191" t="s">
        <v>15</v>
      </c>
      <c r="E191" t="s">
        <v>36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t="s">
        <v>30</v>
      </c>
      <c r="M191">
        <v>23835</v>
      </c>
    </row>
    <row r="192" spans="1:13" x14ac:dyDescent="0.35">
      <c r="A192" t="s">
        <v>228</v>
      </c>
      <c r="B192" t="s">
        <v>14</v>
      </c>
      <c r="C192" s="1">
        <v>45944</v>
      </c>
      <c r="D192" t="s">
        <v>35</v>
      </c>
      <c r="E192" t="s">
        <v>56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t="s">
        <v>21</v>
      </c>
      <c r="M192">
        <v>10912</v>
      </c>
    </row>
    <row r="193" spans="1:13" x14ac:dyDescent="0.35">
      <c r="A193" t="s">
        <v>229</v>
      </c>
      <c r="B193" t="s">
        <v>14</v>
      </c>
      <c r="C193" s="1">
        <v>45945</v>
      </c>
      <c r="D193" t="s">
        <v>15</v>
      </c>
      <c r="E193" t="s">
        <v>38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t="s">
        <v>21</v>
      </c>
      <c r="M193">
        <v>10004</v>
      </c>
    </row>
    <row r="194" spans="1:13" x14ac:dyDescent="0.35">
      <c r="A194" t="s">
        <v>230</v>
      </c>
      <c r="B194" t="s">
        <v>23</v>
      </c>
      <c r="C194" s="1">
        <v>45546</v>
      </c>
      <c r="D194" t="s">
        <v>15</v>
      </c>
      <c r="E194" t="s">
        <v>38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t="s">
        <v>17</v>
      </c>
      <c r="M194">
        <v>5682</v>
      </c>
    </row>
    <row r="195" spans="1:13" x14ac:dyDescent="0.35">
      <c r="A195" t="s">
        <v>231</v>
      </c>
      <c r="B195" t="s">
        <v>14</v>
      </c>
      <c r="C195" s="1">
        <v>45567</v>
      </c>
      <c r="D195" t="s">
        <v>28</v>
      </c>
      <c r="E195" t="s">
        <v>36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t="s">
        <v>26</v>
      </c>
      <c r="M195">
        <v>7319</v>
      </c>
    </row>
    <row r="196" spans="1:13" x14ac:dyDescent="0.35">
      <c r="A196" t="s">
        <v>232</v>
      </c>
      <c r="B196" t="s">
        <v>14</v>
      </c>
      <c r="C196" s="1">
        <v>45519</v>
      </c>
      <c r="D196" t="s">
        <v>15</v>
      </c>
      <c r="E196" t="s">
        <v>42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t="s">
        <v>30</v>
      </c>
      <c r="M196">
        <v>16204</v>
      </c>
    </row>
    <row r="197" spans="1:13" x14ac:dyDescent="0.35">
      <c r="A197" t="s">
        <v>233</v>
      </c>
      <c r="B197" t="s">
        <v>41</v>
      </c>
      <c r="C197" s="1">
        <v>45918</v>
      </c>
      <c r="D197" t="s">
        <v>24</v>
      </c>
      <c r="E197" t="s">
        <v>65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t="s">
        <v>21</v>
      </c>
      <c r="M197">
        <v>12123</v>
      </c>
    </row>
    <row r="198" spans="1:13" x14ac:dyDescent="0.35">
      <c r="A198" t="s">
        <v>234</v>
      </c>
      <c r="B198" t="s">
        <v>41</v>
      </c>
      <c r="C198" s="1">
        <v>45587</v>
      </c>
      <c r="D198" t="s">
        <v>24</v>
      </c>
      <c r="E198" t="s">
        <v>25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t="s">
        <v>26</v>
      </c>
      <c r="M198">
        <v>9311</v>
      </c>
    </row>
    <row r="199" spans="1:13" x14ac:dyDescent="0.35">
      <c r="A199" t="s">
        <v>235</v>
      </c>
      <c r="B199" t="s">
        <v>19</v>
      </c>
      <c r="C199" s="1">
        <v>45919</v>
      </c>
      <c r="D199" t="s">
        <v>35</v>
      </c>
      <c r="E199" t="s">
        <v>29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t="s">
        <v>21</v>
      </c>
      <c r="M199">
        <v>16310</v>
      </c>
    </row>
    <row r="200" spans="1:13" x14ac:dyDescent="0.35">
      <c r="A200" t="s">
        <v>236</v>
      </c>
      <c r="B200" t="s">
        <v>23</v>
      </c>
      <c r="C200" s="1">
        <v>45920</v>
      </c>
      <c r="D200" t="s">
        <v>15</v>
      </c>
      <c r="E200" t="s">
        <v>38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t="s">
        <v>21</v>
      </c>
      <c r="M200">
        <v>14243</v>
      </c>
    </row>
    <row r="201" spans="1:13" x14ac:dyDescent="0.35">
      <c r="A201" t="s">
        <v>237</v>
      </c>
      <c r="B201" t="s">
        <v>14</v>
      </c>
      <c r="C201" s="1">
        <v>45754</v>
      </c>
      <c r="D201" t="s">
        <v>35</v>
      </c>
      <c r="E201" t="s">
        <v>56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t="s">
        <v>30</v>
      </c>
      <c r="M201">
        <v>4724</v>
      </c>
    </row>
    <row r="202" spans="1:13" x14ac:dyDescent="0.35">
      <c r="A202" t="s">
        <v>238</v>
      </c>
      <c r="B202" t="s">
        <v>14</v>
      </c>
      <c r="C202" s="1">
        <v>45672</v>
      </c>
      <c r="D202" t="s">
        <v>24</v>
      </c>
      <c r="E202" t="s">
        <v>33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t="s">
        <v>30</v>
      </c>
      <c r="M202">
        <v>21340</v>
      </c>
    </row>
    <row r="203" spans="1:13" x14ac:dyDescent="0.35">
      <c r="A203" t="s">
        <v>239</v>
      </c>
      <c r="B203" t="s">
        <v>19</v>
      </c>
      <c r="C203" s="1">
        <v>45921</v>
      </c>
      <c r="D203" t="s">
        <v>15</v>
      </c>
      <c r="E203" t="s">
        <v>116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t="s">
        <v>21</v>
      </c>
      <c r="M203">
        <v>21517</v>
      </c>
    </row>
    <row r="204" spans="1:13" x14ac:dyDescent="0.35">
      <c r="A204" t="s">
        <v>240</v>
      </c>
      <c r="B204" t="s">
        <v>14</v>
      </c>
      <c r="C204" s="1">
        <v>45617</v>
      </c>
      <c r="D204" t="s">
        <v>15</v>
      </c>
      <c r="E204" t="s">
        <v>38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t="s">
        <v>46</v>
      </c>
      <c r="M204">
        <v>9358</v>
      </c>
    </row>
    <row r="205" spans="1:13" x14ac:dyDescent="0.35">
      <c r="A205" t="s">
        <v>241</v>
      </c>
      <c r="B205" t="s">
        <v>23</v>
      </c>
      <c r="C205" s="1">
        <v>45922</v>
      </c>
      <c r="D205" t="s">
        <v>35</v>
      </c>
      <c r="E205" t="s">
        <v>33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t="s">
        <v>21</v>
      </c>
      <c r="M205">
        <v>19448</v>
      </c>
    </row>
    <row r="206" spans="1:13" x14ac:dyDescent="0.35">
      <c r="A206" t="s">
        <v>242</v>
      </c>
      <c r="B206" t="s">
        <v>19</v>
      </c>
      <c r="C206" s="1">
        <v>45923</v>
      </c>
      <c r="D206" t="s">
        <v>24</v>
      </c>
      <c r="E206" t="s">
        <v>51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t="s">
        <v>21</v>
      </c>
      <c r="M206">
        <v>17724</v>
      </c>
    </row>
    <row r="207" spans="1:13" x14ac:dyDescent="0.35">
      <c r="A207" t="s">
        <v>243</v>
      </c>
      <c r="B207" t="s">
        <v>23</v>
      </c>
      <c r="C207" s="1">
        <v>45467</v>
      </c>
      <c r="D207" t="s">
        <v>15</v>
      </c>
      <c r="E207" t="s">
        <v>51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t="s">
        <v>17</v>
      </c>
      <c r="M207">
        <v>7411</v>
      </c>
    </row>
    <row r="208" spans="1:13" x14ac:dyDescent="0.35">
      <c r="A208" t="s">
        <v>244</v>
      </c>
      <c r="B208" t="s">
        <v>19</v>
      </c>
      <c r="C208" s="1">
        <v>45655</v>
      </c>
      <c r="D208" t="s">
        <v>35</v>
      </c>
      <c r="E208" t="s">
        <v>65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t="s">
        <v>17</v>
      </c>
      <c r="M208">
        <v>10508</v>
      </c>
    </row>
    <row r="209" spans="1:13" x14ac:dyDescent="0.35">
      <c r="A209" t="s">
        <v>245</v>
      </c>
      <c r="B209" t="s">
        <v>19</v>
      </c>
      <c r="C209" s="1">
        <v>45467</v>
      </c>
      <c r="D209" t="s">
        <v>24</v>
      </c>
      <c r="E209" t="s">
        <v>20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t="s">
        <v>17</v>
      </c>
      <c r="M209">
        <v>7300</v>
      </c>
    </row>
    <row r="210" spans="1:13" x14ac:dyDescent="0.35">
      <c r="A210" t="s">
        <v>246</v>
      </c>
      <c r="B210" t="s">
        <v>41</v>
      </c>
      <c r="C210" s="1">
        <v>45735</v>
      </c>
      <c r="D210" t="s">
        <v>35</v>
      </c>
      <c r="E210" t="s">
        <v>29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t="s">
        <v>46</v>
      </c>
      <c r="M210">
        <v>14802</v>
      </c>
    </row>
    <row r="211" spans="1:13" x14ac:dyDescent="0.35">
      <c r="A211" t="s">
        <v>247</v>
      </c>
      <c r="B211" t="s">
        <v>23</v>
      </c>
      <c r="C211" s="1">
        <v>45707</v>
      </c>
      <c r="D211" t="s">
        <v>28</v>
      </c>
      <c r="E211" t="s">
        <v>42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t="s">
        <v>46</v>
      </c>
      <c r="M211">
        <v>9122</v>
      </c>
    </row>
    <row r="212" spans="1:13" x14ac:dyDescent="0.35">
      <c r="A212" t="s">
        <v>248</v>
      </c>
      <c r="B212" t="s">
        <v>14</v>
      </c>
      <c r="C212" s="1">
        <v>45924</v>
      </c>
      <c r="D212" t="s">
        <v>15</v>
      </c>
      <c r="E212" t="s">
        <v>65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t="s">
        <v>21</v>
      </c>
      <c r="M212">
        <v>13567</v>
      </c>
    </row>
    <row r="213" spans="1:13" x14ac:dyDescent="0.35">
      <c r="A213" t="s">
        <v>249</v>
      </c>
      <c r="B213" t="s">
        <v>14</v>
      </c>
      <c r="C213" s="1">
        <v>45719</v>
      </c>
      <c r="D213" t="s">
        <v>28</v>
      </c>
      <c r="E213" t="s">
        <v>16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t="s">
        <v>17</v>
      </c>
      <c r="M213">
        <v>10784</v>
      </c>
    </row>
    <row r="214" spans="1:13" x14ac:dyDescent="0.35">
      <c r="A214" t="s">
        <v>250</v>
      </c>
      <c r="B214" t="s">
        <v>23</v>
      </c>
      <c r="C214" s="1">
        <v>45778</v>
      </c>
      <c r="D214" t="s">
        <v>24</v>
      </c>
      <c r="E214" t="s">
        <v>42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t="s">
        <v>46</v>
      </c>
      <c r="M214">
        <v>11639</v>
      </c>
    </row>
    <row r="215" spans="1:13" x14ac:dyDescent="0.35">
      <c r="A215" t="s">
        <v>251</v>
      </c>
      <c r="B215" t="s">
        <v>14</v>
      </c>
      <c r="C215" s="1">
        <v>45649</v>
      </c>
      <c r="D215" t="s">
        <v>28</v>
      </c>
      <c r="E215" t="s">
        <v>25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t="s">
        <v>30</v>
      </c>
      <c r="M215">
        <v>20627</v>
      </c>
    </row>
    <row r="216" spans="1:13" x14ac:dyDescent="0.35">
      <c r="A216" t="s">
        <v>252</v>
      </c>
      <c r="B216" t="s">
        <v>14</v>
      </c>
      <c r="C216" s="1">
        <v>45925</v>
      </c>
      <c r="D216" t="s">
        <v>28</v>
      </c>
      <c r="E216" t="s">
        <v>56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t="s">
        <v>21</v>
      </c>
      <c r="M216">
        <v>9879</v>
      </c>
    </row>
    <row r="217" spans="1:13" x14ac:dyDescent="0.35">
      <c r="A217" t="s">
        <v>253</v>
      </c>
      <c r="B217" t="s">
        <v>23</v>
      </c>
      <c r="C217" s="1">
        <v>45502</v>
      </c>
      <c r="D217" t="s">
        <v>24</v>
      </c>
      <c r="E217" t="s">
        <v>16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t="s">
        <v>26</v>
      </c>
      <c r="M217">
        <v>25018</v>
      </c>
    </row>
    <row r="218" spans="1:13" x14ac:dyDescent="0.35">
      <c r="A218" t="s">
        <v>254</v>
      </c>
      <c r="B218" t="s">
        <v>19</v>
      </c>
      <c r="C218" s="1">
        <v>45926</v>
      </c>
      <c r="D218" t="s">
        <v>35</v>
      </c>
      <c r="E218" t="s">
        <v>16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t="s">
        <v>21</v>
      </c>
      <c r="M218">
        <v>18314</v>
      </c>
    </row>
    <row r="219" spans="1:13" x14ac:dyDescent="0.35">
      <c r="A219" t="s">
        <v>255</v>
      </c>
      <c r="B219" t="s">
        <v>23</v>
      </c>
      <c r="C219" s="1">
        <v>45454</v>
      </c>
      <c r="D219" t="s">
        <v>28</v>
      </c>
      <c r="E219" t="s">
        <v>65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t="s">
        <v>26</v>
      </c>
      <c r="M219">
        <v>15977</v>
      </c>
    </row>
    <row r="220" spans="1:13" x14ac:dyDescent="0.35">
      <c r="A220" t="s">
        <v>256</v>
      </c>
      <c r="B220" t="s">
        <v>19</v>
      </c>
      <c r="C220" s="1">
        <v>45685</v>
      </c>
      <c r="D220" t="s">
        <v>35</v>
      </c>
      <c r="E220" t="s">
        <v>36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t="s">
        <v>17</v>
      </c>
      <c r="M220">
        <v>11553</v>
      </c>
    </row>
    <row r="221" spans="1:13" x14ac:dyDescent="0.35">
      <c r="A221" t="s">
        <v>257</v>
      </c>
      <c r="B221" t="s">
        <v>14</v>
      </c>
      <c r="C221" s="1">
        <v>45445</v>
      </c>
      <c r="D221" t="s">
        <v>28</v>
      </c>
      <c r="E221" t="s">
        <v>20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t="s">
        <v>26</v>
      </c>
      <c r="M221">
        <v>16359</v>
      </c>
    </row>
    <row r="222" spans="1:13" x14ac:dyDescent="0.35">
      <c r="A222" t="s">
        <v>258</v>
      </c>
      <c r="B222" t="s">
        <v>14</v>
      </c>
      <c r="C222" s="1">
        <v>45739</v>
      </c>
      <c r="D222" t="s">
        <v>35</v>
      </c>
      <c r="E222" t="s">
        <v>36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t="s">
        <v>17</v>
      </c>
      <c r="M222">
        <v>19425</v>
      </c>
    </row>
    <row r="223" spans="1:13" x14ac:dyDescent="0.35">
      <c r="A223" t="s">
        <v>259</v>
      </c>
      <c r="B223" t="s">
        <v>14</v>
      </c>
      <c r="C223" s="1">
        <v>45573</v>
      </c>
      <c r="D223" t="s">
        <v>24</v>
      </c>
      <c r="E223" t="s">
        <v>65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t="s">
        <v>30</v>
      </c>
      <c r="M223">
        <v>9562</v>
      </c>
    </row>
    <row r="224" spans="1:13" x14ac:dyDescent="0.35">
      <c r="A224" t="s">
        <v>260</v>
      </c>
      <c r="B224" t="s">
        <v>41</v>
      </c>
      <c r="C224" s="1">
        <v>45608</v>
      </c>
      <c r="D224" t="s">
        <v>28</v>
      </c>
      <c r="E224" t="s">
        <v>25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t="s">
        <v>26</v>
      </c>
      <c r="M224">
        <v>20083</v>
      </c>
    </row>
    <row r="225" spans="1:13" x14ac:dyDescent="0.35">
      <c r="A225" t="s">
        <v>261</v>
      </c>
      <c r="B225" t="s">
        <v>19</v>
      </c>
      <c r="C225" s="1">
        <v>45907</v>
      </c>
      <c r="D225" t="s">
        <v>24</v>
      </c>
      <c r="E225" t="s">
        <v>116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t="s">
        <v>21</v>
      </c>
      <c r="M225">
        <v>6729</v>
      </c>
    </row>
    <row r="226" spans="1:13" x14ac:dyDescent="0.35">
      <c r="A226" t="s">
        <v>262</v>
      </c>
      <c r="B226" t="s">
        <v>41</v>
      </c>
      <c r="C226" s="1">
        <v>45463</v>
      </c>
      <c r="D226" t="s">
        <v>28</v>
      </c>
      <c r="E226" t="s">
        <v>38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t="s">
        <v>17</v>
      </c>
      <c r="M226">
        <v>23055</v>
      </c>
    </row>
    <row r="227" spans="1:13" x14ac:dyDescent="0.35">
      <c r="A227" t="s">
        <v>263</v>
      </c>
      <c r="B227" t="s">
        <v>41</v>
      </c>
      <c r="C227" s="1">
        <v>45908</v>
      </c>
      <c r="D227" t="s">
        <v>24</v>
      </c>
      <c r="E227" t="s">
        <v>38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t="s">
        <v>21</v>
      </c>
      <c r="M227">
        <v>25266</v>
      </c>
    </row>
    <row r="228" spans="1:13" x14ac:dyDescent="0.35">
      <c r="A228" t="s">
        <v>264</v>
      </c>
      <c r="B228" t="s">
        <v>23</v>
      </c>
      <c r="C228" s="1">
        <v>45455</v>
      </c>
      <c r="D228" t="s">
        <v>24</v>
      </c>
      <c r="E228" t="s">
        <v>20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t="s">
        <v>46</v>
      </c>
      <c r="M228">
        <v>18820</v>
      </c>
    </row>
    <row r="229" spans="1:13" x14ac:dyDescent="0.35">
      <c r="A229" t="s">
        <v>265</v>
      </c>
      <c r="B229" t="s">
        <v>41</v>
      </c>
      <c r="C229" s="1">
        <v>45474</v>
      </c>
      <c r="D229" t="s">
        <v>28</v>
      </c>
      <c r="E229" t="s">
        <v>25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t="s">
        <v>17</v>
      </c>
      <c r="M229">
        <v>4905</v>
      </c>
    </row>
    <row r="230" spans="1:13" x14ac:dyDescent="0.35">
      <c r="A230" t="s">
        <v>266</v>
      </c>
      <c r="B230" t="s">
        <v>23</v>
      </c>
      <c r="C230" s="1">
        <v>45476</v>
      </c>
      <c r="D230" t="s">
        <v>28</v>
      </c>
      <c r="E230" t="s">
        <v>20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t="s">
        <v>26</v>
      </c>
      <c r="M230">
        <v>12691</v>
      </c>
    </row>
    <row r="231" spans="1:13" x14ac:dyDescent="0.35">
      <c r="A231" t="s">
        <v>267</v>
      </c>
      <c r="B231" t="s">
        <v>23</v>
      </c>
      <c r="C231" s="1">
        <v>45488</v>
      </c>
      <c r="D231" t="s">
        <v>28</v>
      </c>
      <c r="E231" t="s">
        <v>33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t="s">
        <v>17</v>
      </c>
      <c r="M231">
        <v>13146</v>
      </c>
    </row>
    <row r="232" spans="1:13" x14ac:dyDescent="0.35">
      <c r="A232" t="s">
        <v>268</v>
      </c>
      <c r="B232" t="s">
        <v>41</v>
      </c>
      <c r="C232" s="1">
        <v>45909</v>
      </c>
      <c r="D232" t="s">
        <v>15</v>
      </c>
      <c r="E232" t="s">
        <v>36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t="s">
        <v>21</v>
      </c>
      <c r="M232">
        <v>20922</v>
      </c>
    </row>
    <row r="233" spans="1:13" x14ac:dyDescent="0.35">
      <c r="A233" t="s">
        <v>269</v>
      </c>
      <c r="B233" t="s">
        <v>19</v>
      </c>
      <c r="C233" s="1">
        <v>45776</v>
      </c>
      <c r="D233" t="s">
        <v>35</v>
      </c>
      <c r="E233" t="s">
        <v>38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t="s">
        <v>30</v>
      </c>
      <c r="M233">
        <v>17761</v>
      </c>
    </row>
    <row r="234" spans="1:13" x14ac:dyDescent="0.35">
      <c r="A234" t="s">
        <v>270</v>
      </c>
      <c r="B234" t="s">
        <v>19</v>
      </c>
      <c r="C234" s="1">
        <v>45724</v>
      </c>
      <c r="D234" t="s">
        <v>15</v>
      </c>
      <c r="E234" t="s">
        <v>16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t="s">
        <v>17</v>
      </c>
      <c r="M234">
        <v>7048</v>
      </c>
    </row>
    <row r="235" spans="1:13" x14ac:dyDescent="0.35">
      <c r="A235" t="s">
        <v>271</v>
      </c>
      <c r="B235" t="s">
        <v>19</v>
      </c>
      <c r="C235" s="1">
        <v>45444</v>
      </c>
      <c r="D235" t="s">
        <v>15</v>
      </c>
      <c r="E235" t="s">
        <v>36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t="s">
        <v>26</v>
      </c>
      <c r="M235">
        <v>21726</v>
      </c>
    </row>
    <row r="236" spans="1:13" x14ac:dyDescent="0.35">
      <c r="A236" t="s">
        <v>272</v>
      </c>
      <c r="B236" t="s">
        <v>19</v>
      </c>
      <c r="C236" s="1">
        <v>45648</v>
      </c>
      <c r="D236" t="s">
        <v>24</v>
      </c>
      <c r="E236" t="s">
        <v>29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t="s">
        <v>46</v>
      </c>
      <c r="M236">
        <v>21973</v>
      </c>
    </row>
    <row r="237" spans="1:13" x14ac:dyDescent="0.35">
      <c r="A237" t="s">
        <v>273</v>
      </c>
      <c r="B237" t="s">
        <v>19</v>
      </c>
      <c r="C237" s="1">
        <v>45523</v>
      </c>
      <c r="D237" t="s">
        <v>28</v>
      </c>
      <c r="E237" t="s">
        <v>56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t="s">
        <v>30</v>
      </c>
      <c r="M237">
        <v>4732</v>
      </c>
    </row>
    <row r="238" spans="1:13" x14ac:dyDescent="0.35">
      <c r="A238" t="s">
        <v>274</v>
      </c>
      <c r="B238" t="s">
        <v>41</v>
      </c>
      <c r="C238" s="1">
        <v>45587</v>
      </c>
      <c r="D238" t="s">
        <v>35</v>
      </c>
      <c r="E238" t="s">
        <v>25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t="s">
        <v>46</v>
      </c>
      <c r="M238">
        <v>8871</v>
      </c>
    </row>
    <row r="239" spans="1:13" x14ac:dyDescent="0.35">
      <c r="A239" t="s">
        <v>275</v>
      </c>
      <c r="B239" t="s">
        <v>41</v>
      </c>
      <c r="C239" s="1">
        <v>45489</v>
      </c>
      <c r="D239" t="s">
        <v>24</v>
      </c>
      <c r="E239" t="s">
        <v>42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t="s">
        <v>17</v>
      </c>
      <c r="M239">
        <v>10474</v>
      </c>
    </row>
    <row r="240" spans="1:13" x14ac:dyDescent="0.35">
      <c r="A240" t="s">
        <v>276</v>
      </c>
      <c r="B240" t="s">
        <v>14</v>
      </c>
      <c r="C240" s="1">
        <v>45910</v>
      </c>
      <c r="D240" t="s">
        <v>15</v>
      </c>
      <c r="E240" t="s">
        <v>20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t="s">
        <v>21</v>
      </c>
      <c r="M240">
        <v>14772</v>
      </c>
    </row>
    <row r="241" spans="1:13" x14ac:dyDescent="0.35">
      <c r="A241" t="s">
        <v>277</v>
      </c>
      <c r="B241" t="s">
        <v>19</v>
      </c>
      <c r="C241" s="1">
        <v>45911</v>
      </c>
      <c r="D241" t="s">
        <v>28</v>
      </c>
      <c r="E241" t="s">
        <v>36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t="s">
        <v>21</v>
      </c>
      <c r="M241">
        <v>23933</v>
      </c>
    </row>
    <row r="242" spans="1:13" x14ac:dyDescent="0.35">
      <c r="A242" t="s">
        <v>278</v>
      </c>
      <c r="B242" t="s">
        <v>41</v>
      </c>
      <c r="C242" s="1">
        <v>45675</v>
      </c>
      <c r="D242" t="s">
        <v>24</v>
      </c>
      <c r="E242" t="s">
        <v>56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t="s">
        <v>26</v>
      </c>
      <c r="M242">
        <v>13394</v>
      </c>
    </row>
    <row r="243" spans="1:13" x14ac:dyDescent="0.35">
      <c r="A243" t="s">
        <v>279</v>
      </c>
      <c r="B243" t="s">
        <v>14</v>
      </c>
      <c r="C243" s="1">
        <v>45912</v>
      </c>
      <c r="D243" t="s">
        <v>28</v>
      </c>
      <c r="E243" t="s">
        <v>36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t="s">
        <v>21</v>
      </c>
      <c r="M243">
        <v>17424</v>
      </c>
    </row>
    <row r="244" spans="1:13" x14ac:dyDescent="0.35">
      <c r="A244" t="s">
        <v>280</v>
      </c>
      <c r="B244" t="s">
        <v>19</v>
      </c>
      <c r="C244" s="1">
        <v>45722</v>
      </c>
      <c r="D244" t="s">
        <v>24</v>
      </c>
      <c r="E244" t="s">
        <v>42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t="s">
        <v>30</v>
      </c>
      <c r="M244">
        <v>23660</v>
      </c>
    </row>
    <row r="245" spans="1:13" x14ac:dyDescent="0.35">
      <c r="A245" t="s">
        <v>281</v>
      </c>
      <c r="B245" t="s">
        <v>23</v>
      </c>
      <c r="C245" s="1">
        <v>45913</v>
      </c>
      <c r="D245" t="s">
        <v>28</v>
      </c>
      <c r="E245" t="s">
        <v>56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t="s">
        <v>21</v>
      </c>
      <c r="M245">
        <v>15842</v>
      </c>
    </row>
    <row r="246" spans="1:13" x14ac:dyDescent="0.35">
      <c r="A246" t="s">
        <v>282</v>
      </c>
      <c r="B246" t="s">
        <v>14</v>
      </c>
      <c r="C246" s="1">
        <v>45669</v>
      </c>
      <c r="D246" t="s">
        <v>15</v>
      </c>
      <c r="E246" t="s">
        <v>29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t="s">
        <v>26</v>
      </c>
      <c r="M246">
        <v>5782</v>
      </c>
    </row>
    <row r="247" spans="1:13" x14ac:dyDescent="0.35">
      <c r="A247" t="s">
        <v>283</v>
      </c>
      <c r="B247" t="s">
        <v>41</v>
      </c>
      <c r="C247" s="1">
        <v>45576</v>
      </c>
      <c r="D247" t="s">
        <v>35</v>
      </c>
      <c r="E247" t="s">
        <v>42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t="s">
        <v>17</v>
      </c>
      <c r="M247">
        <v>20717</v>
      </c>
    </row>
    <row r="248" spans="1:13" x14ac:dyDescent="0.35">
      <c r="A248" t="s">
        <v>284</v>
      </c>
      <c r="B248" t="s">
        <v>23</v>
      </c>
      <c r="C248" s="1">
        <v>45531</v>
      </c>
      <c r="D248" t="s">
        <v>15</v>
      </c>
      <c r="E248" t="s">
        <v>65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t="s">
        <v>17</v>
      </c>
      <c r="M248">
        <v>7607</v>
      </c>
    </row>
    <row r="249" spans="1:13" x14ac:dyDescent="0.35">
      <c r="A249" t="s">
        <v>285</v>
      </c>
      <c r="B249" t="s">
        <v>23</v>
      </c>
      <c r="C249" s="1">
        <v>45914</v>
      </c>
      <c r="D249" t="s">
        <v>35</v>
      </c>
      <c r="E249" t="s">
        <v>51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t="s">
        <v>21</v>
      </c>
      <c r="M249">
        <v>14706</v>
      </c>
    </row>
    <row r="250" spans="1:13" x14ac:dyDescent="0.35">
      <c r="A250" t="s">
        <v>286</v>
      </c>
      <c r="B250" t="s">
        <v>23</v>
      </c>
      <c r="C250" s="1">
        <v>45491</v>
      </c>
      <c r="D250" t="s">
        <v>28</v>
      </c>
      <c r="E250" t="s">
        <v>65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t="s">
        <v>46</v>
      </c>
      <c r="M250">
        <v>12700</v>
      </c>
    </row>
    <row r="251" spans="1:13" x14ac:dyDescent="0.35">
      <c r="A251" t="s">
        <v>287</v>
      </c>
      <c r="B251" t="s">
        <v>14</v>
      </c>
      <c r="C251" s="1">
        <v>45465</v>
      </c>
      <c r="D251" t="s">
        <v>24</v>
      </c>
      <c r="E251" t="s">
        <v>38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t="s">
        <v>17</v>
      </c>
      <c r="M251">
        <v>9150</v>
      </c>
    </row>
    <row r="252" spans="1:13" x14ac:dyDescent="0.35">
      <c r="A252" t="s">
        <v>288</v>
      </c>
      <c r="B252" t="s">
        <v>41</v>
      </c>
      <c r="C252" s="1">
        <v>45915</v>
      </c>
      <c r="D252" t="s">
        <v>15</v>
      </c>
      <c r="E252" t="s">
        <v>36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t="s">
        <v>21</v>
      </c>
      <c r="M252">
        <v>19714</v>
      </c>
    </row>
    <row r="253" spans="1:13" x14ac:dyDescent="0.35">
      <c r="A253" t="s">
        <v>289</v>
      </c>
      <c r="B253" t="s">
        <v>23</v>
      </c>
      <c r="C253" s="1">
        <v>45775</v>
      </c>
      <c r="D253" t="s">
        <v>35</v>
      </c>
      <c r="E253" t="s">
        <v>51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t="s">
        <v>26</v>
      </c>
      <c r="M253">
        <v>12409</v>
      </c>
    </row>
    <row r="254" spans="1:13" x14ac:dyDescent="0.35">
      <c r="A254" t="s">
        <v>290</v>
      </c>
      <c r="B254" t="s">
        <v>19</v>
      </c>
      <c r="C254" s="1">
        <v>45916</v>
      </c>
      <c r="D254" t="s">
        <v>15</v>
      </c>
      <c r="E254" t="s">
        <v>65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t="s">
        <v>21</v>
      </c>
      <c r="M254">
        <v>17561</v>
      </c>
    </row>
    <row r="255" spans="1:13" x14ac:dyDescent="0.35">
      <c r="A255" t="s">
        <v>291</v>
      </c>
      <c r="B255" t="s">
        <v>23</v>
      </c>
      <c r="C255" s="1">
        <v>45671</v>
      </c>
      <c r="D255" t="s">
        <v>35</v>
      </c>
      <c r="E255" t="s">
        <v>51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t="s">
        <v>17</v>
      </c>
      <c r="M255">
        <v>25476</v>
      </c>
    </row>
    <row r="256" spans="1:13" x14ac:dyDescent="0.35">
      <c r="A256" t="s">
        <v>292</v>
      </c>
      <c r="B256" t="s">
        <v>23</v>
      </c>
      <c r="C256" s="1">
        <v>45750</v>
      </c>
      <c r="D256" t="s">
        <v>15</v>
      </c>
      <c r="E256" t="s">
        <v>116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t="s">
        <v>26</v>
      </c>
      <c r="M256">
        <v>12763</v>
      </c>
    </row>
    <row r="257" spans="1:13" x14ac:dyDescent="0.35">
      <c r="A257" t="s">
        <v>293</v>
      </c>
      <c r="B257" t="s">
        <v>14</v>
      </c>
      <c r="C257" s="1">
        <v>45917</v>
      </c>
      <c r="D257" t="s">
        <v>35</v>
      </c>
      <c r="E257" t="s">
        <v>36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t="s">
        <v>21</v>
      </c>
      <c r="M257">
        <v>3453</v>
      </c>
    </row>
    <row r="258" spans="1:13" x14ac:dyDescent="0.35">
      <c r="A258" t="s">
        <v>294</v>
      </c>
      <c r="B258" t="s">
        <v>14</v>
      </c>
      <c r="C258" s="1">
        <v>45753</v>
      </c>
      <c r="D258" t="s">
        <v>35</v>
      </c>
      <c r="E258" t="s">
        <v>51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t="s">
        <v>30</v>
      </c>
      <c r="M258">
        <v>17592</v>
      </c>
    </row>
    <row r="259" spans="1:13" x14ac:dyDescent="0.35">
      <c r="A259" t="s">
        <v>295</v>
      </c>
      <c r="B259" t="s">
        <v>41</v>
      </c>
      <c r="C259" s="1">
        <v>45509</v>
      </c>
      <c r="D259" t="s">
        <v>28</v>
      </c>
      <c r="E259" t="s">
        <v>16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t="s">
        <v>26</v>
      </c>
      <c r="M259">
        <v>22915</v>
      </c>
    </row>
    <row r="260" spans="1:13" x14ac:dyDescent="0.35">
      <c r="A260" t="s">
        <v>296</v>
      </c>
      <c r="B260" t="s">
        <v>19</v>
      </c>
      <c r="C260" s="1">
        <v>45698</v>
      </c>
      <c r="D260" t="s">
        <v>35</v>
      </c>
      <c r="E260" t="s">
        <v>20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t="s">
        <v>30</v>
      </c>
      <c r="M260">
        <v>18596</v>
      </c>
    </row>
    <row r="261" spans="1:13" x14ac:dyDescent="0.35">
      <c r="A261" t="s">
        <v>297</v>
      </c>
      <c r="B261" t="s">
        <v>14</v>
      </c>
      <c r="C261" s="1">
        <v>45700</v>
      </c>
      <c r="D261" t="s">
        <v>28</v>
      </c>
      <c r="E261" t="s">
        <v>20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t="s">
        <v>46</v>
      </c>
      <c r="M261">
        <v>17180</v>
      </c>
    </row>
    <row r="262" spans="1:13" x14ac:dyDescent="0.35">
      <c r="A262" t="s">
        <v>298</v>
      </c>
      <c r="B262" t="s">
        <v>23</v>
      </c>
      <c r="C262" s="1">
        <v>45592</v>
      </c>
      <c r="D262" t="s">
        <v>35</v>
      </c>
      <c r="E262" t="s">
        <v>16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t="s">
        <v>26</v>
      </c>
      <c r="M262">
        <v>8947</v>
      </c>
    </row>
    <row r="263" spans="1:13" x14ac:dyDescent="0.35">
      <c r="A263" t="s">
        <v>299</v>
      </c>
      <c r="B263" t="s">
        <v>41</v>
      </c>
      <c r="C263" s="1">
        <v>45675</v>
      </c>
      <c r="D263" t="s">
        <v>24</v>
      </c>
      <c r="E263" t="s">
        <v>56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t="s">
        <v>30</v>
      </c>
      <c r="M263">
        <v>23895</v>
      </c>
    </row>
    <row r="264" spans="1:13" x14ac:dyDescent="0.35">
      <c r="A264" t="s">
        <v>300</v>
      </c>
      <c r="B264" t="s">
        <v>23</v>
      </c>
      <c r="C264" s="1">
        <v>45524</v>
      </c>
      <c r="D264" t="s">
        <v>24</v>
      </c>
      <c r="E264" t="s">
        <v>33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t="s">
        <v>17</v>
      </c>
      <c r="M264">
        <v>4540</v>
      </c>
    </row>
    <row r="265" spans="1:13" x14ac:dyDescent="0.35">
      <c r="A265" t="s">
        <v>301</v>
      </c>
      <c r="B265" t="s">
        <v>23</v>
      </c>
      <c r="C265" s="1">
        <v>45687</v>
      </c>
      <c r="D265" t="s">
        <v>24</v>
      </c>
      <c r="E265" t="s">
        <v>56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t="s">
        <v>17</v>
      </c>
      <c r="M265">
        <v>14589</v>
      </c>
    </row>
    <row r="266" spans="1:13" x14ac:dyDescent="0.35">
      <c r="A266" t="s">
        <v>302</v>
      </c>
      <c r="B266" t="s">
        <v>14</v>
      </c>
      <c r="C266" s="1">
        <v>45708</v>
      </c>
      <c r="D266" t="s">
        <v>35</v>
      </c>
      <c r="E266" t="s">
        <v>42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t="s">
        <v>46</v>
      </c>
      <c r="M266">
        <v>17723</v>
      </c>
    </row>
    <row r="267" spans="1:13" x14ac:dyDescent="0.35">
      <c r="A267" t="s">
        <v>303</v>
      </c>
      <c r="B267" t="s">
        <v>41</v>
      </c>
      <c r="C267" s="1">
        <v>45621</v>
      </c>
      <c r="D267" t="s">
        <v>28</v>
      </c>
      <c r="E267" t="s">
        <v>42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t="s">
        <v>26</v>
      </c>
      <c r="M267">
        <v>18784</v>
      </c>
    </row>
    <row r="268" spans="1:13" x14ac:dyDescent="0.35">
      <c r="A268" t="s">
        <v>304</v>
      </c>
      <c r="B268" t="s">
        <v>19</v>
      </c>
      <c r="C268" s="1">
        <v>45569</v>
      </c>
      <c r="D268" t="s">
        <v>28</v>
      </c>
      <c r="E268" t="s">
        <v>51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t="s">
        <v>26</v>
      </c>
      <c r="M268">
        <v>16843</v>
      </c>
    </row>
    <row r="269" spans="1:13" x14ac:dyDescent="0.35">
      <c r="A269" t="s">
        <v>305</v>
      </c>
      <c r="B269" t="s">
        <v>19</v>
      </c>
      <c r="C269" s="1">
        <v>45760</v>
      </c>
      <c r="D269" t="s">
        <v>35</v>
      </c>
      <c r="E269" t="s">
        <v>65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t="s">
        <v>26</v>
      </c>
      <c r="M269">
        <v>26026</v>
      </c>
    </row>
    <row r="270" spans="1:13" x14ac:dyDescent="0.35">
      <c r="A270" t="s">
        <v>306</v>
      </c>
      <c r="B270" t="s">
        <v>14</v>
      </c>
      <c r="C270" s="1">
        <v>45601</v>
      </c>
      <c r="D270" t="s">
        <v>24</v>
      </c>
      <c r="E270" t="s">
        <v>65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t="s">
        <v>46</v>
      </c>
      <c r="M270">
        <v>9615</v>
      </c>
    </row>
    <row r="271" spans="1:13" x14ac:dyDescent="0.35">
      <c r="A271" t="s">
        <v>307</v>
      </c>
      <c r="B271" t="s">
        <v>14</v>
      </c>
      <c r="C271" s="1">
        <v>45672</v>
      </c>
      <c r="D271" t="s">
        <v>24</v>
      </c>
      <c r="E271" t="s">
        <v>20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t="s">
        <v>26</v>
      </c>
      <c r="M271">
        <v>12547</v>
      </c>
    </row>
    <row r="272" spans="1:13" x14ac:dyDescent="0.35">
      <c r="A272" t="s">
        <v>308</v>
      </c>
      <c r="B272" t="s">
        <v>41</v>
      </c>
      <c r="C272" s="1">
        <v>45582</v>
      </c>
      <c r="D272" t="s">
        <v>28</v>
      </c>
      <c r="E272" t="s">
        <v>25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t="s">
        <v>17</v>
      </c>
      <c r="M272">
        <v>20311</v>
      </c>
    </row>
    <row r="273" spans="1:13" x14ac:dyDescent="0.35">
      <c r="A273" t="s">
        <v>309</v>
      </c>
      <c r="B273" t="s">
        <v>19</v>
      </c>
      <c r="C273" s="1">
        <v>45743</v>
      </c>
      <c r="D273" t="s">
        <v>24</v>
      </c>
      <c r="E273" t="s">
        <v>56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t="s">
        <v>30</v>
      </c>
      <c r="M273">
        <v>16403</v>
      </c>
    </row>
    <row r="274" spans="1:13" x14ac:dyDescent="0.35">
      <c r="A274" t="s">
        <v>310</v>
      </c>
      <c r="B274" t="s">
        <v>19</v>
      </c>
      <c r="C274" s="1">
        <v>45577</v>
      </c>
      <c r="D274" t="s">
        <v>15</v>
      </c>
      <c r="E274" t="s">
        <v>116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t="s">
        <v>17</v>
      </c>
      <c r="M274">
        <v>7242</v>
      </c>
    </row>
    <row r="275" spans="1:13" x14ac:dyDescent="0.35">
      <c r="A275" t="s">
        <v>311</v>
      </c>
      <c r="B275" t="s">
        <v>19</v>
      </c>
      <c r="C275" s="1">
        <v>45658</v>
      </c>
      <c r="D275" t="s">
        <v>28</v>
      </c>
      <c r="E275" t="s">
        <v>36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t="s">
        <v>17</v>
      </c>
      <c r="M275">
        <v>9891</v>
      </c>
    </row>
    <row r="276" spans="1:13" x14ac:dyDescent="0.35">
      <c r="A276" t="s">
        <v>312</v>
      </c>
      <c r="B276" t="s">
        <v>23</v>
      </c>
      <c r="C276" s="1">
        <v>45509</v>
      </c>
      <c r="D276" t="s">
        <v>24</v>
      </c>
      <c r="E276" t="s">
        <v>38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t="s">
        <v>30</v>
      </c>
      <c r="M276">
        <v>5729</v>
      </c>
    </row>
    <row r="277" spans="1:13" x14ac:dyDescent="0.35">
      <c r="A277" t="s">
        <v>313</v>
      </c>
      <c r="B277" t="s">
        <v>19</v>
      </c>
      <c r="C277" s="1">
        <v>45450</v>
      </c>
      <c r="D277" t="s">
        <v>28</v>
      </c>
      <c r="E277" t="s">
        <v>29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t="s">
        <v>17</v>
      </c>
      <c r="M277">
        <v>8938</v>
      </c>
    </row>
    <row r="278" spans="1:13" x14ac:dyDescent="0.35">
      <c r="A278" t="s">
        <v>314</v>
      </c>
      <c r="B278" t="s">
        <v>23</v>
      </c>
      <c r="C278" s="1">
        <v>45753</v>
      </c>
      <c r="D278" t="s">
        <v>15</v>
      </c>
      <c r="E278" t="s">
        <v>65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t="s">
        <v>46</v>
      </c>
      <c r="M278">
        <v>16603</v>
      </c>
    </row>
    <row r="279" spans="1:13" x14ac:dyDescent="0.35">
      <c r="A279" t="s">
        <v>315</v>
      </c>
      <c r="B279" t="s">
        <v>41</v>
      </c>
      <c r="C279" s="1">
        <v>45622</v>
      </c>
      <c r="D279" t="s">
        <v>28</v>
      </c>
      <c r="E279" t="s">
        <v>36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t="s">
        <v>30</v>
      </c>
      <c r="M279">
        <v>16543</v>
      </c>
    </row>
    <row r="280" spans="1:13" x14ac:dyDescent="0.35">
      <c r="A280" t="s">
        <v>316</v>
      </c>
      <c r="B280" t="s">
        <v>23</v>
      </c>
      <c r="C280" s="1">
        <v>45537</v>
      </c>
      <c r="D280" t="s">
        <v>28</v>
      </c>
      <c r="E280" t="s">
        <v>29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t="s">
        <v>17</v>
      </c>
      <c r="M280">
        <v>13187</v>
      </c>
    </row>
    <row r="281" spans="1:13" x14ac:dyDescent="0.35">
      <c r="A281" t="s">
        <v>317</v>
      </c>
      <c r="B281" t="s">
        <v>41</v>
      </c>
      <c r="C281" s="1">
        <v>45918</v>
      </c>
      <c r="D281" t="s">
        <v>28</v>
      </c>
      <c r="E281" t="s">
        <v>36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t="s">
        <v>21</v>
      </c>
      <c r="M281">
        <v>4537</v>
      </c>
    </row>
    <row r="282" spans="1:13" x14ac:dyDescent="0.35">
      <c r="A282" t="s">
        <v>318</v>
      </c>
      <c r="B282" t="s">
        <v>19</v>
      </c>
      <c r="C282" s="1">
        <v>45738</v>
      </c>
      <c r="D282" t="s">
        <v>28</v>
      </c>
      <c r="E282" t="s">
        <v>51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t="s">
        <v>17</v>
      </c>
      <c r="M282">
        <v>5541</v>
      </c>
    </row>
    <row r="283" spans="1:13" x14ac:dyDescent="0.35">
      <c r="A283" t="s">
        <v>319</v>
      </c>
      <c r="B283" t="s">
        <v>19</v>
      </c>
      <c r="C283" s="1">
        <v>45568</v>
      </c>
      <c r="D283" t="s">
        <v>15</v>
      </c>
      <c r="E283" t="s">
        <v>29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t="s">
        <v>46</v>
      </c>
      <c r="M283">
        <v>23675</v>
      </c>
    </row>
    <row r="284" spans="1:13" x14ac:dyDescent="0.35">
      <c r="A284" t="s">
        <v>320</v>
      </c>
      <c r="B284" t="s">
        <v>41</v>
      </c>
      <c r="C284" s="1">
        <v>45786</v>
      </c>
      <c r="D284" t="s">
        <v>35</v>
      </c>
      <c r="E284" t="s">
        <v>38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t="s">
        <v>26</v>
      </c>
      <c r="M284">
        <v>9982</v>
      </c>
    </row>
    <row r="285" spans="1:13" x14ac:dyDescent="0.35">
      <c r="A285" t="s">
        <v>321</v>
      </c>
      <c r="B285" t="s">
        <v>14</v>
      </c>
      <c r="C285" s="1">
        <v>45552</v>
      </c>
      <c r="D285" t="s">
        <v>28</v>
      </c>
      <c r="E285" t="s">
        <v>36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t="s">
        <v>17</v>
      </c>
      <c r="M285">
        <v>22214</v>
      </c>
    </row>
    <row r="286" spans="1:13" x14ac:dyDescent="0.35">
      <c r="A286" t="s">
        <v>322</v>
      </c>
      <c r="B286" t="s">
        <v>41</v>
      </c>
      <c r="C286" s="1">
        <v>45491</v>
      </c>
      <c r="D286" t="s">
        <v>28</v>
      </c>
      <c r="E286" t="s">
        <v>16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t="s">
        <v>26</v>
      </c>
      <c r="M286">
        <v>18187</v>
      </c>
    </row>
    <row r="287" spans="1:13" x14ac:dyDescent="0.35">
      <c r="A287" t="s">
        <v>323</v>
      </c>
      <c r="B287" t="s">
        <v>14</v>
      </c>
      <c r="C287" s="1">
        <v>45919</v>
      </c>
      <c r="D287" t="s">
        <v>24</v>
      </c>
      <c r="E287" t="s">
        <v>38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t="s">
        <v>21</v>
      </c>
      <c r="M287">
        <v>23822</v>
      </c>
    </row>
    <row r="288" spans="1:13" x14ac:dyDescent="0.35">
      <c r="A288" t="s">
        <v>324</v>
      </c>
      <c r="B288" t="s">
        <v>23</v>
      </c>
      <c r="C288" s="1">
        <v>45519</v>
      </c>
      <c r="D288" t="s">
        <v>28</v>
      </c>
      <c r="E288" t="s">
        <v>29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t="s">
        <v>17</v>
      </c>
      <c r="M288">
        <v>16049</v>
      </c>
    </row>
    <row r="289" spans="1:13" x14ac:dyDescent="0.35">
      <c r="A289" t="s">
        <v>325</v>
      </c>
      <c r="B289" t="s">
        <v>23</v>
      </c>
      <c r="C289" s="1">
        <v>45764</v>
      </c>
      <c r="D289" t="s">
        <v>24</v>
      </c>
      <c r="E289" t="s">
        <v>38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t="s">
        <v>30</v>
      </c>
      <c r="M289">
        <v>3390</v>
      </c>
    </row>
    <row r="290" spans="1:13" x14ac:dyDescent="0.35">
      <c r="A290" t="s">
        <v>326</v>
      </c>
      <c r="B290" t="s">
        <v>23</v>
      </c>
      <c r="C290" s="1">
        <v>45624</v>
      </c>
      <c r="D290" t="s">
        <v>35</v>
      </c>
      <c r="E290" t="s">
        <v>36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t="s">
        <v>26</v>
      </c>
      <c r="M290">
        <v>20900</v>
      </c>
    </row>
    <row r="291" spans="1:13" x14ac:dyDescent="0.35">
      <c r="A291" t="s">
        <v>327</v>
      </c>
      <c r="B291" t="s">
        <v>19</v>
      </c>
      <c r="C291" s="1">
        <v>45920</v>
      </c>
      <c r="D291" t="s">
        <v>15</v>
      </c>
      <c r="E291" t="s">
        <v>33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t="s">
        <v>21</v>
      </c>
      <c r="M291">
        <v>25230</v>
      </c>
    </row>
    <row r="292" spans="1:13" x14ac:dyDescent="0.35">
      <c r="A292" t="s">
        <v>328</v>
      </c>
      <c r="B292" t="s">
        <v>23</v>
      </c>
      <c r="C292" s="1">
        <v>45602</v>
      </c>
      <c r="D292" t="s">
        <v>15</v>
      </c>
      <c r="E292" t="s">
        <v>36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t="s">
        <v>30</v>
      </c>
      <c r="M292">
        <v>12425</v>
      </c>
    </row>
    <row r="293" spans="1:13" x14ac:dyDescent="0.35">
      <c r="A293" t="s">
        <v>329</v>
      </c>
      <c r="B293" t="s">
        <v>14</v>
      </c>
      <c r="C293" s="1">
        <v>45613</v>
      </c>
      <c r="D293" t="s">
        <v>35</v>
      </c>
      <c r="E293" t="s">
        <v>36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t="s">
        <v>30</v>
      </c>
      <c r="M293">
        <v>5129</v>
      </c>
    </row>
    <row r="294" spans="1:13" x14ac:dyDescent="0.35">
      <c r="A294" t="s">
        <v>330</v>
      </c>
      <c r="B294" t="s">
        <v>23</v>
      </c>
      <c r="C294" s="1">
        <v>45791</v>
      </c>
      <c r="D294" t="s">
        <v>15</v>
      </c>
      <c r="E294" t="s">
        <v>51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t="s">
        <v>30</v>
      </c>
      <c r="M294">
        <v>10786</v>
      </c>
    </row>
    <row r="295" spans="1:13" x14ac:dyDescent="0.35">
      <c r="A295" t="s">
        <v>331</v>
      </c>
      <c r="B295" t="s">
        <v>41</v>
      </c>
      <c r="C295" s="1">
        <v>45462</v>
      </c>
      <c r="D295" t="s">
        <v>35</v>
      </c>
      <c r="E295" t="s">
        <v>56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t="s">
        <v>30</v>
      </c>
      <c r="M295">
        <v>20866</v>
      </c>
    </row>
    <row r="296" spans="1:13" x14ac:dyDescent="0.35">
      <c r="A296" t="s">
        <v>332</v>
      </c>
      <c r="B296" t="s">
        <v>41</v>
      </c>
      <c r="C296" s="1">
        <v>45783</v>
      </c>
      <c r="D296" t="s">
        <v>35</v>
      </c>
      <c r="E296" t="s">
        <v>16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t="s">
        <v>17</v>
      </c>
      <c r="M296">
        <v>9213</v>
      </c>
    </row>
    <row r="297" spans="1:13" x14ac:dyDescent="0.35">
      <c r="A297" t="s">
        <v>333</v>
      </c>
      <c r="B297" t="s">
        <v>19</v>
      </c>
      <c r="C297" s="1">
        <v>45699</v>
      </c>
      <c r="D297" t="s">
        <v>35</v>
      </c>
      <c r="E297" t="s">
        <v>116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t="s">
        <v>17</v>
      </c>
      <c r="M297">
        <v>5405</v>
      </c>
    </row>
    <row r="298" spans="1:13" x14ac:dyDescent="0.35">
      <c r="A298" t="s">
        <v>334</v>
      </c>
      <c r="B298" t="s">
        <v>41</v>
      </c>
      <c r="C298" s="1">
        <v>45650</v>
      </c>
      <c r="D298" t="s">
        <v>15</v>
      </c>
      <c r="E298" t="s">
        <v>65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t="s">
        <v>17</v>
      </c>
      <c r="M298">
        <v>12253</v>
      </c>
    </row>
    <row r="299" spans="1:13" x14ac:dyDescent="0.35">
      <c r="A299" t="s">
        <v>335</v>
      </c>
      <c r="B299" t="s">
        <v>14</v>
      </c>
      <c r="C299" s="1">
        <v>45924</v>
      </c>
      <c r="D299" t="s">
        <v>24</v>
      </c>
      <c r="E299" t="s">
        <v>42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t="s">
        <v>21</v>
      </c>
      <c r="M299">
        <v>4504</v>
      </c>
    </row>
    <row r="300" spans="1:13" x14ac:dyDescent="0.35">
      <c r="A300" t="s">
        <v>336</v>
      </c>
      <c r="B300" t="s">
        <v>23</v>
      </c>
      <c r="C300" s="1">
        <v>45925</v>
      </c>
      <c r="D300" t="s">
        <v>35</v>
      </c>
      <c r="E300" t="s">
        <v>56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t="s">
        <v>21</v>
      </c>
      <c r="M300">
        <v>13382</v>
      </c>
    </row>
    <row r="301" spans="1:13" x14ac:dyDescent="0.35">
      <c r="A301" t="s">
        <v>337</v>
      </c>
      <c r="B301" t="s">
        <v>19</v>
      </c>
      <c r="C301" s="1">
        <v>45926</v>
      </c>
      <c r="D301" t="s">
        <v>28</v>
      </c>
      <c r="E301" t="s">
        <v>42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t="s">
        <v>21</v>
      </c>
      <c r="M301">
        <v>21629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2146-0850-43C7-9826-4E20E79684F6}">
  <dimension ref="A1:H201"/>
  <sheetViews>
    <sheetView workbookViewId="0"/>
  </sheetViews>
  <sheetFormatPr defaultRowHeight="14.5" x14ac:dyDescent="0.35"/>
  <cols>
    <col min="1" max="1" width="17.36328125" bestFit="1" customWidth="1"/>
    <col min="2" max="2" width="10.26953125" bestFit="1" customWidth="1"/>
    <col min="3" max="3" width="15.6328125" bestFit="1" customWidth="1"/>
    <col min="4" max="4" width="11.453125" bestFit="1" customWidth="1"/>
    <col min="5" max="5" width="16.08984375" bestFit="1" customWidth="1"/>
    <col min="6" max="6" width="18.08984375" bestFit="1" customWidth="1"/>
    <col min="7" max="7" width="11.453125" bestFit="1" customWidth="1"/>
    <col min="8" max="8" width="20.26953125" bestFit="1" customWidth="1"/>
  </cols>
  <sheetData>
    <row r="1" spans="1:8" x14ac:dyDescent="0.35">
      <c r="A1" t="s">
        <v>365</v>
      </c>
      <c r="B1" t="s">
        <v>1</v>
      </c>
      <c r="C1" t="s">
        <v>366</v>
      </c>
      <c r="D1" t="s">
        <v>367</v>
      </c>
      <c r="E1" t="s">
        <v>368</v>
      </c>
      <c r="F1" t="s">
        <v>369</v>
      </c>
      <c r="G1" t="s">
        <v>350</v>
      </c>
      <c r="H1" t="s">
        <v>370</v>
      </c>
    </row>
    <row r="2" spans="1:8" x14ac:dyDescent="0.35">
      <c r="A2" s="1">
        <v>45446</v>
      </c>
      <c r="B2" t="s">
        <v>23</v>
      </c>
      <c r="C2">
        <v>4138</v>
      </c>
      <c r="D2">
        <v>361</v>
      </c>
      <c r="E2">
        <v>103777</v>
      </c>
      <c r="F2">
        <v>56.637790647253247</v>
      </c>
      <c r="G2">
        <v>23944</v>
      </c>
      <c r="H2">
        <v>3777</v>
      </c>
    </row>
    <row r="3" spans="1:8" x14ac:dyDescent="0.35">
      <c r="A3" s="1">
        <v>45446</v>
      </c>
      <c r="B3" t="s">
        <v>41</v>
      </c>
      <c r="C3">
        <v>8693</v>
      </c>
      <c r="D3">
        <v>1261</v>
      </c>
      <c r="E3">
        <v>111209</v>
      </c>
      <c r="F3">
        <v>69.475492091467416</v>
      </c>
      <c r="G3">
        <v>29873</v>
      </c>
      <c r="H3">
        <v>7432</v>
      </c>
    </row>
    <row r="4" spans="1:8" x14ac:dyDescent="0.35">
      <c r="A4" s="1">
        <v>45446</v>
      </c>
      <c r="B4" t="s">
        <v>14</v>
      </c>
      <c r="C4">
        <v>9264</v>
      </c>
      <c r="D4">
        <v>1141</v>
      </c>
      <c r="E4">
        <v>119332</v>
      </c>
      <c r="F4">
        <v>92.312204605638044</v>
      </c>
      <c r="G4">
        <v>50372</v>
      </c>
      <c r="H4">
        <v>8123</v>
      </c>
    </row>
    <row r="5" spans="1:8" x14ac:dyDescent="0.35">
      <c r="A5" s="1">
        <v>45446</v>
      </c>
      <c r="B5" t="s">
        <v>14</v>
      </c>
      <c r="C5">
        <v>8842</v>
      </c>
      <c r="D5">
        <v>971</v>
      </c>
      <c r="E5">
        <v>127203</v>
      </c>
      <c r="F5">
        <v>16.351815601833291</v>
      </c>
      <c r="G5">
        <v>33928</v>
      </c>
      <c r="H5">
        <v>7871</v>
      </c>
    </row>
    <row r="6" spans="1:8" x14ac:dyDescent="0.35">
      <c r="A6" s="1">
        <v>45453</v>
      </c>
      <c r="B6" t="s">
        <v>23</v>
      </c>
      <c r="C6">
        <v>7721</v>
      </c>
      <c r="D6">
        <v>506</v>
      </c>
      <c r="E6">
        <v>134418</v>
      </c>
      <c r="F6">
        <v>35.577824398518047</v>
      </c>
      <c r="G6">
        <v>25379</v>
      </c>
      <c r="H6">
        <v>7215</v>
      </c>
    </row>
    <row r="7" spans="1:8" x14ac:dyDescent="0.35">
      <c r="A7" s="1">
        <v>45453</v>
      </c>
      <c r="B7" t="s">
        <v>14</v>
      </c>
      <c r="C7">
        <v>8002</v>
      </c>
      <c r="D7">
        <v>524</v>
      </c>
      <c r="E7">
        <v>141896</v>
      </c>
      <c r="F7">
        <v>52.064892597395271</v>
      </c>
      <c r="G7">
        <v>46751</v>
      </c>
      <c r="H7">
        <v>7478</v>
      </c>
    </row>
    <row r="8" spans="1:8" x14ac:dyDescent="0.35">
      <c r="A8" s="1">
        <v>45453</v>
      </c>
      <c r="B8" t="s">
        <v>41</v>
      </c>
      <c r="C8">
        <v>5225</v>
      </c>
      <c r="D8">
        <v>291</v>
      </c>
      <c r="E8">
        <v>146830</v>
      </c>
      <c r="F8">
        <v>19.551862698358651</v>
      </c>
      <c r="G8">
        <v>44546</v>
      </c>
      <c r="H8">
        <v>4934</v>
      </c>
    </row>
    <row r="9" spans="1:8" x14ac:dyDescent="0.35">
      <c r="A9" s="1">
        <v>45453</v>
      </c>
      <c r="B9" t="s">
        <v>41</v>
      </c>
      <c r="C9">
        <v>3978</v>
      </c>
      <c r="D9">
        <v>543</v>
      </c>
      <c r="E9">
        <v>150265</v>
      </c>
      <c r="F9">
        <v>49.159817655475329</v>
      </c>
      <c r="G9">
        <v>34286</v>
      </c>
      <c r="H9">
        <v>3435</v>
      </c>
    </row>
    <row r="10" spans="1:8" x14ac:dyDescent="0.35">
      <c r="A10" s="1">
        <v>45460</v>
      </c>
      <c r="B10" t="s">
        <v>23</v>
      </c>
      <c r="C10">
        <v>8373</v>
      </c>
      <c r="D10">
        <v>921</v>
      </c>
      <c r="E10">
        <v>157717</v>
      </c>
      <c r="F10">
        <v>12.2263294381709</v>
      </c>
      <c r="G10">
        <v>15110</v>
      </c>
      <c r="H10">
        <v>7452</v>
      </c>
    </row>
    <row r="11" spans="1:8" x14ac:dyDescent="0.35">
      <c r="A11" s="1">
        <v>45460</v>
      </c>
      <c r="B11" t="s">
        <v>41</v>
      </c>
      <c r="C11">
        <v>6907</v>
      </c>
      <c r="D11">
        <v>834</v>
      </c>
      <c r="E11">
        <v>163790</v>
      </c>
      <c r="F11">
        <v>54.158984064961238</v>
      </c>
      <c r="G11">
        <v>22087</v>
      </c>
      <c r="H11">
        <v>6073</v>
      </c>
    </row>
    <row r="12" spans="1:8" x14ac:dyDescent="0.35">
      <c r="A12" s="1">
        <v>45460</v>
      </c>
      <c r="B12" t="s">
        <v>19</v>
      </c>
      <c r="C12">
        <v>7097</v>
      </c>
      <c r="D12">
        <v>369</v>
      </c>
      <c r="E12">
        <v>170518</v>
      </c>
      <c r="F12">
        <v>9.2506362964613711</v>
      </c>
      <c r="G12">
        <v>33762</v>
      </c>
      <c r="H12">
        <v>6728</v>
      </c>
    </row>
    <row r="13" spans="1:8" x14ac:dyDescent="0.35">
      <c r="A13" s="1">
        <v>45460</v>
      </c>
      <c r="B13" t="s">
        <v>23</v>
      </c>
      <c r="C13">
        <v>6656</v>
      </c>
      <c r="D13">
        <v>978</v>
      </c>
      <c r="E13">
        <v>176196</v>
      </c>
      <c r="F13">
        <v>60.425889350496043</v>
      </c>
      <c r="G13">
        <v>27081</v>
      </c>
      <c r="H13">
        <v>5678</v>
      </c>
    </row>
    <row r="14" spans="1:8" x14ac:dyDescent="0.35">
      <c r="A14" s="1">
        <v>45467</v>
      </c>
      <c r="B14" t="s">
        <v>41</v>
      </c>
      <c r="C14">
        <v>9984</v>
      </c>
      <c r="D14">
        <v>1330</v>
      </c>
      <c r="E14">
        <v>184850</v>
      </c>
      <c r="F14">
        <v>57.524479307546663</v>
      </c>
      <c r="G14">
        <v>44947</v>
      </c>
      <c r="H14">
        <v>8654</v>
      </c>
    </row>
    <row r="15" spans="1:8" x14ac:dyDescent="0.35">
      <c r="A15" s="1">
        <v>45467</v>
      </c>
      <c r="B15" t="s">
        <v>23</v>
      </c>
      <c r="C15">
        <v>5259</v>
      </c>
      <c r="D15">
        <v>374</v>
      </c>
      <c r="E15">
        <v>189735</v>
      </c>
      <c r="F15">
        <v>14.827522597306769</v>
      </c>
      <c r="G15">
        <v>19596</v>
      </c>
      <c r="H15">
        <v>4885</v>
      </c>
    </row>
    <row r="16" spans="1:8" x14ac:dyDescent="0.35">
      <c r="A16" s="1">
        <v>45467</v>
      </c>
      <c r="B16" t="s">
        <v>14</v>
      </c>
      <c r="C16">
        <v>9286</v>
      </c>
      <c r="D16">
        <v>633</v>
      </c>
      <c r="E16">
        <v>198388</v>
      </c>
      <c r="F16">
        <v>5.4343004617214756</v>
      </c>
      <c r="G16">
        <v>48019</v>
      </c>
      <c r="H16">
        <v>8653</v>
      </c>
    </row>
    <row r="17" spans="1:8" x14ac:dyDescent="0.35">
      <c r="A17" s="1">
        <v>45467</v>
      </c>
      <c r="B17" t="s">
        <v>41</v>
      </c>
      <c r="C17">
        <v>6901</v>
      </c>
      <c r="D17">
        <v>471</v>
      </c>
      <c r="E17">
        <v>204818</v>
      </c>
      <c r="F17">
        <v>60.827661631301943</v>
      </c>
      <c r="G17">
        <v>52003</v>
      </c>
      <c r="H17">
        <v>6430</v>
      </c>
    </row>
    <row r="18" spans="1:8" x14ac:dyDescent="0.35">
      <c r="A18" s="1">
        <v>45474</v>
      </c>
      <c r="B18" t="s">
        <v>19</v>
      </c>
      <c r="C18">
        <v>5917</v>
      </c>
      <c r="D18">
        <v>475</v>
      </c>
      <c r="E18">
        <v>210260</v>
      </c>
      <c r="F18">
        <v>17.894035955483691</v>
      </c>
      <c r="G18">
        <v>28313</v>
      </c>
      <c r="H18">
        <v>5442</v>
      </c>
    </row>
    <row r="19" spans="1:8" x14ac:dyDescent="0.35">
      <c r="A19" s="1">
        <v>45474</v>
      </c>
      <c r="B19" t="s">
        <v>41</v>
      </c>
      <c r="C19">
        <v>9429</v>
      </c>
      <c r="D19">
        <v>966</v>
      </c>
      <c r="E19">
        <v>218723</v>
      </c>
      <c r="F19">
        <v>7.6914636320825887</v>
      </c>
      <c r="G19">
        <v>57639</v>
      </c>
      <c r="H19">
        <v>8463</v>
      </c>
    </row>
    <row r="20" spans="1:8" x14ac:dyDescent="0.35">
      <c r="A20" s="1">
        <v>45474</v>
      </c>
      <c r="B20" t="s">
        <v>23</v>
      </c>
      <c r="C20">
        <v>3530</v>
      </c>
      <c r="D20">
        <v>328</v>
      </c>
      <c r="E20">
        <v>221925</v>
      </c>
      <c r="F20">
        <v>12.8372197814577</v>
      </c>
      <c r="G20">
        <v>11013</v>
      </c>
      <c r="H20">
        <v>3202</v>
      </c>
    </row>
    <row r="21" spans="1:8" x14ac:dyDescent="0.35">
      <c r="A21" s="1">
        <v>45474</v>
      </c>
      <c r="B21" t="s">
        <v>23</v>
      </c>
      <c r="C21">
        <v>2960</v>
      </c>
      <c r="D21">
        <v>234</v>
      </c>
      <c r="E21">
        <v>224651</v>
      </c>
      <c r="F21">
        <v>17.41278694508371</v>
      </c>
      <c r="G21">
        <v>59378</v>
      </c>
      <c r="H21">
        <v>2726</v>
      </c>
    </row>
    <row r="22" spans="1:8" x14ac:dyDescent="0.35">
      <c r="A22" s="1">
        <v>45481</v>
      </c>
      <c r="B22" t="s">
        <v>41</v>
      </c>
      <c r="C22">
        <v>8045</v>
      </c>
      <c r="D22">
        <v>894</v>
      </c>
      <c r="E22">
        <v>231802</v>
      </c>
      <c r="F22">
        <v>47.634187798207087</v>
      </c>
      <c r="G22">
        <v>33705</v>
      </c>
      <c r="H22">
        <v>7151</v>
      </c>
    </row>
    <row r="23" spans="1:8" x14ac:dyDescent="0.35">
      <c r="A23" s="1">
        <v>45481</v>
      </c>
      <c r="B23" t="s">
        <v>19</v>
      </c>
      <c r="C23">
        <v>2048</v>
      </c>
      <c r="D23">
        <v>130</v>
      </c>
      <c r="E23">
        <v>233720</v>
      </c>
      <c r="F23">
        <v>39.284614068115687</v>
      </c>
      <c r="G23">
        <v>11828</v>
      </c>
      <c r="H23">
        <v>1918</v>
      </c>
    </row>
    <row r="24" spans="1:8" x14ac:dyDescent="0.35">
      <c r="A24" s="1">
        <v>45481</v>
      </c>
      <c r="B24" t="s">
        <v>19</v>
      </c>
      <c r="C24">
        <v>6772</v>
      </c>
      <c r="D24">
        <v>536</v>
      </c>
      <c r="E24">
        <v>239956</v>
      </c>
      <c r="F24">
        <v>9.8205504342462788</v>
      </c>
      <c r="G24">
        <v>17909</v>
      </c>
      <c r="H24">
        <v>6236</v>
      </c>
    </row>
    <row r="25" spans="1:8" x14ac:dyDescent="0.35">
      <c r="A25" s="1">
        <v>45481</v>
      </c>
      <c r="B25" t="s">
        <v>19</v>
      </c>
      <c r="C25">
        <v>3529</v>
      </c>
      <c r="D25">
        <v>305</v>
      </c>
      <c r="E25">
        <v>243180</v>
      </c>
      <c r="F25">
        <v>41.606628834608109</v>
      </c>
      <c r="G25">
        <v>48356</v>
      </c>
      <c r="H25">
        <v>3224</v>
      </c>
    </row>
    <row r="26" spans="1:8" x14ac:dyDescent="0.35">
      <c r="A26" s="1">
        <v>45488</v>
      </c>
      <c r="B26" t="s">
        <v>23</v>
      </c>
      <c r="C26">
        <v>3964</v>
      </c>
      <c r="D26">
        <v>378</v>
      </c>
      <c r="E26">
        <v>246766</v>
      </c>
      <c r="F26">
        <v>13.6355899921383</v>
      </c>
      <c r="G26">
        <v>23109</v>
      </c>
      <c r="H26">
        <v>3586</v>
      </c>
    </row>
    <row r="27" spans="1:8" x14ac:dyDescent="0.35">
      <c r="A27" s="1">
        <v>45488</v>
      </c>
      <c r="B27" t="s">
        <v>41</v>
      </c>
      <c r="C27">
        <v>8137</v>
      </c>
      <c r="D27">
        <v>1045</v>
      </c>
      <c r="E27">
        <v>253858</v>
      </c>
      <c r="F27">
        <v>20.47246886054408</v>
      </c>
      <c r="G27">
        <v>12023</v>
      </c>
      <c r="H27">
        <v>7092</v>
      </c>
    </row>
    <row r="28" spans="1:8" x14ac:dyDescent="0.35">
      <c r="A28" s="1">
        <v>45488</v>
      </c>
      <c r="B28" t="s">
        <v>14</v>
      </c>
      <c r="C28">
        <v>1963</v>
      </c>
      <c r="D28">
        <v>137</v>
      </c>
      <c r="E28">
        <v>255684</v>
      </c>
      <c r="F28">
        <v>11.2083665774941</v>
      </c>
      <c r="G28">
        <v>24537</v>
      </c>
      <c r="H28">
        <v>1826</v>
      </c>
    </row>
    <row r="29" spans="1:8" x14ac:dyDescent="0.35">
      <c r="A29" s="1">
        <v>45488</v>
      </c>
      <c r="B29" t="s">
        <v>23</v>
      </c>
      <c r="C29">
        <v>1536</v>
      </c>
      <c r="D29">
        <v>155</v>
      </c>
      <c r="E29">
        <v>257065</v>
      </c>
      <c r="F29">
        <v>12.15762550327738</v>
      </c>
      <c r="G29">
        <v>36661</v>
      </c>
      <c r="H29">
        <v>1381</v>
      </c>
    </row>
    <row r="30" spans="1:8" x14ac:dyDescent="0.35">
      <c r="A30" s="1">
        <v>45495</v>
      </c>
      <c r="B30" t="s">
        <v>19</v>
      </c>
      <c r="C30">
        <v>8340</v>
      </c>
      <c r="D30">
        <v>911</v>
      </c>
      <c r="E30">
        <v>264494</v>
      </c>
      <c r="F30">
        <v>37.302925586213682</v>
      </c>
      <c r="G30">
        <v>48659</v>
      </c>
      <c r="H30">
        <v>7429</v>
      </c>
    </row>
    <row r="31" spans="1:8" x14ac:dyDescent="0.35">
      <c r="A31" s="1">
        <v>45495</v>
      </c>
      <c r="B31" t="s">
        <v>41</v>
      </c>
      <c r="C31">
        <v>8179</v>
      </c>
      <c r="D31">
        <v>446</v>
      </c>
      <c r="E31">
        <v>272227</v>
      </c>
      <c r="F31">
        <v>41.82171496581897</v>
      </c>
      <c r="G31">
        <v>43848</v>
      </c>
      <c r="H31">
        <v>7733</v>
      </c>
    </row>
    <row r="32" spans="1:8" x14ac:dyDescent="0.35">
      <c r="A32" s="1">
        <v>45495</v>
      </c>
      <c r="B32" t="s">
        <v>19</v>
      </c>
      <c r="C32">
        <v>8967</v>
      </c>
      <c r="D32">
        <v>993</v>
      </c>
      <c r="E32">
        <v>280201</v>
      </c>
      <c r="F32">
        <v>52.792102811910027</v>
      </c>
      <c r="G32">
        <v>47804</v>
      </c>
      <c r="H32">
        <v>7974</v>
      </c>
    </row>
    <row r="33" spans="1:8" x14ac:dyDescent="0.35">
      <c r="A33" s="1">
        <v>45495</v>
      </c>
      <c r="B33" t="s">
        <v>14</v>
      </c>
      <c r="C33">
        <v>9734</v>
      </c>
      <c r="D33">
        <v>652</v>
      </c>
      <c r="E33">
        <v>289283</v>
      </c>
      <c r="F33">
        <v>49.647922622483861</v>
      </c>
      <c r="G33">
        <v>25379</v>
      </c>
      <c r="H33">
        <v>9082</v>
      </c>
    </row>
    <row r="34" spans="1:8" x14ac:dyDescent="0.35">
      <c r="A34" s="1">
        <v>45502</v>
      </c>
      <c r="B34" t="s">
        <v>19</v>
      </c>
      <c r="C34">
        <v>1845</v>
      </c>
      <c r="D34">
        <v>104</v>
      </c>
      <c r="E34">
        <v>291024</v>
      </c>
      <c r="F34">
        <v>28.158158777282971</v>
      </c>
      <c r="G34">
        <v>37766</v>
      </c>
      <c r="H34">
        <v>1741</v>
      </c>
    </row>
    <row r="35" spans="1:8" x14ac:dyDescent="0.35">
      <c r="A35" s="1">
        <v>45502</v>
      </c>
      <c r="B35" t="s">
        <v>19</v>
      </c>
      <c r="C35">
        <v>6777</v>
      </c>
      <c r="D35">
        <v>981</v>
      </c>
      <c r="E35">
        <v>296820</v>
      </c>
      <c r="F35">
        <v>23.920557913887201</v>
      </c>
      <c r="G35">
        <v>53590</v>
      </c>
      <c r="H35">
        <v>5796</v>
      </c>
    </row>
    <row r="36" spans="1:8" x14ac:dyDescent="0.35">
      <c r="A36" s="1">
        <v>45502</v>
      </c>
      <c r="B36" t="s">
        <v>14</v>
      </c>
      <c r="C36">
        <v>4036</v>
      </c>
      <c r="D36">
        <v>591</v>
      </c>
      <c r="E36">
        <v>300265</v>
      </c>
      <c r="F36">
        <v>44.219272975538267</v>
      </c>
      <c r="G36">
        <v>12563</v>
      </c>
      <c r="H36">
        <v>3445</v>
      </c>
    </row>
    <row r="37" spans="1:8" x14ac:dyDescent="0.35">
      <c r="A37" s="1">
        <v>45502</v>
      </c>
      <c r="B37" t="s">
        <v>41</v>
      </c>
      <c r="C37">
        <v>6947</v>
      </c>
      <c r="D37">
        <v>908</v>
      </c>
      <c r="E37">
        <v>306304</v>
      </c>
      <c r="F37">
        <v>14.117673944839121</v>
      </c>
      <c r="G37">
        <v>46060</v>
      </c>
      <c r="H37">
        <v>6039</v>
      </c>
    </row>
    <row r="38" spans="1:8" x14ac:dyDescent="0.35">
      <c r="A38" s="1">
        <v>45509</v>
      </c>
      <c r="B38" t="s">
        <v>23</v>
      </c>
      <c r="C38">
        <v>3494</v>
      </c>
      <c r="D38">
        <v>281</v>
      </c>
      <c r="E38">
        <v>309517</v>
      </c>
      <c r="F38">
        <v>27.765518533715429</v>
      </c>
      <c r="G38">
        <v>39197</v>
      </c>
      <c r="H38">
        <v>3213</v>
      </c>
    </row>
    <row r="39" spans="1:8" x14ac:dyDescent="0.35">
      <c r="A39" s="1">
        <v>45509</v>
      </c>
      <c r="B39" t="s">
        <v>41</v>
      </c>
      <c r="C39">
        <v>3719</v>
      </c>
      <c r="D39">
        <v>222</v>
      </c>
      <c r="E39">
        <v>313014</v>
      </c>
      <c r="F39">
        <v>21.669318305251519</v>
      </c>
      <c r="G39">
        <v>13586</v>
      </c>
      <c r="H39">
        <v>3497</v>
      </c>
    </row>
    <row r="40" spans="1:8" x14ac:dyDescent="0.35">
      <c r="A40" s="1">
        <v>45509</v>
      </c>
      <c r="B40" t="s">
        <v>14</v>
      </c>
      <c r="C40">
        <v>2884</v>
      </c>
      <c r="D40">
        <v>341</v>
      </c>
      <c r="E40">
        <v>315557</v>
      </c>
      <c r="F40">
        <v>46.999749649033298</v>
      </c>
      <c r="G40">
        <v>26087</v>
      </c>
      <c r="H40">
        <v>2543</v>
      </c>
    </row>
    <row r="41" spans="1:8" x14ac:dyDescent="0.35">
      <c r="A41" s="1">
        <v>45509</v>
      </c>
      <c r="B41" t="s">
        <v>19</v>
      </c>
      <c r="C41">
        <v>5349</v>
      </c>
      <c r="D41">
        <v>502</v>
      </c>
      <c r="E41">
        <v>320404</v>
      </c>
      <c r="F41">
        <v>5.2152906954969351</v>
      </c>
      <c r="G41">
        <v>58868</v>
      </c>
      <c r="H41">
        <v>4847</v>
      </c>
    </row>
    <row r="42" spans="1:8" x14ac:dyDescent="0.35">
      <c r="A42" s="1">
        <v>45516</v>
      </c>
      <c r="B42" t="s">
        <v>41</v>
      </c>
      <c r="C42">
        <v>6179</v>
      </c>
      <c r="D42">
        <v>384</v>
      </c>
      <c r="E42">
        <v>326199</v>
      </c>
      <c r="F42">
        <v>14.71218489327067</v>
      </c>
      <c r="G42">
        <v>33225</v>
      </c>
      <c r="H42">
        <v>5795</v>
      </c>
    </row>
    <row r="43" spans="1:8" x14ac:dyDescent="0.35">
      <c r="A43" s="1">
        <v>45516</v>
      </c>
      <c r="B43" t="s">
        <v>23</v>
      </c>
      <c r="C43">
        <v>7610</v>
      </c>
      <c r="D43">
        <v>757</v>
      </c>
      <c r="E43">
        <v>333052</v>
      </c>
      <c r="F43">
        <v>44.450416151231643</v>
      </c>
      <c r="G43">
        <v>39750</v>
      </c>
      <c r="H43">
        <v>6853</v>
      </c>
    </row>
    <row r="44" spans="1:8" x14ac:dyDescent="0.35">
      <c r="A44" s="1">
        <v>45516</v>
      </c>
      <c r="B44" t="s">
        <v>14</v>
      </c>
      <c r="C44">
        <v>7430</v>
      </c>
      <c r="D44">
        <v>397</v>
      </c>
      <c r="E44">
        <v>340085</v>
      </c>
      <c r="F44">
        <v>28.065042562888689</v>
      </c>
      <c r="G44">
        <v>16643</v>
      </c>
      <c r="H44">
        <v>7033</v>
      </c>
    </row>
    <row r="45" spans="1:8" x14ac:dyDescent="0.35">
      <c r="A45" s="1">
        <v>45516</v>
      </c>
      <c r="B45" t="s">
        <v>41</v>
      </c>
      <c r="C45">
        <v>8154</v>
      </c>
      <c r="D45">
        <v>1149</v>
      </c>
      <c r="E45">
        <v>347090</v>
      </c>
      <c r="F45">
        <v>26.003918292085629</v>
      </c>
      <c r="G45">
        <v>37523</v>
      </c>
      <c r="H45">
        <v>7005</v>
      </c>
    </row>
    <row r="46" spans="1:8" x14ac:dyDescent="0.35">
      <c r="A46" s="1">
        <v>45523</v>
      </c>
      <c r="B46" t="s">
        <v>23</v>
      </c>
      <c r="C46">
        <v>7488</v>
      </c>
      <c r="D46">
        <v>568</v>
      </c>
      <c r="E46">
        <v>354010</v>
      </c>
      <c r="F46">
        <v>13.47730290104799</v>
      </c>
      <c r="G46">
        <v>46727</v>
      </c>
      <c r="H46">
        <v>6920</v>
      </c>
    </row>
    <row r="47" spans="1:8" x14ac:dyDescent="0.35">
      <c r="A47" s="1">
        <v>45523</v>
      </c>
      <c r="B47" t="s">
        <v>14</v>
      </c>
      <c r="C47">
        <v>5737</v>
      </c>
      <c r="D47">
        <v>666</v>
      </c>
      <c r="E47">
        <v>359081</v>
      </c>
      <c r="F47">
        <v>4.6034181702735593</v>
      </c>
      <c r="G47">
        <v>21005</v>
      </c>
      <c r="H47">
        <v>5071</v>
      </c>
    </row>
    <row r="48" spans="1:8" x14ac:dyDescent="0.35">
      <c r="A48" s="1">
        <v>45523</v>
      </c>
      <c r="B48" t="s">
        <v>23</v>
      </c>
      <c r="C48">
        <v>7525</v>
      </c>
      <c r="D48">
        <v>610</v>
      </c>
      <c r="E48">
        <v>365996</v>
      </c>
      <c r="F48">
        <v>5.7694619613329108</v>
      </c>
      <c r="G48">
        <v>53543</v>
      </c>
      <c r="H48">
        <v>6915</v>
      </c>
    </row>
    <row r="49" spans="1:8" x14ac:dyDescent="0.35">
      <c r="A49" s="1">
        <v>45523</v>
      </c>
      <c r="B49" t="s">
        <v>14</v>
      </c>
      <c r="C49">
        <v>4850</v>
      </c>
      <c r="D49">
        <v>494</v>
      </c>
      <c r="E49">
        <v>370352</v>
      </c>
      <c r="F49">
        <v>20.46539508359615</v>
      </c>
      <c r="G49">
        <v>10161</v>
      </c>
      <c r="H49">
        <v>4356</v>
      </c>
    </row>
    <row r="50" spans="1:8" x14ac:dyDescent="0.35">
      <c r="A50" s="1">
        <v>45530</v>
      </c>
      <c r="B50" t="s">
        <v>19</v>
      </c>
      <c r="C50">
        <v>1689</v>
      </c>
      <c r="D50">
        <v>176</v>
      </c>
      <c r="E50">
        <v>371865</v>
      </c>
      <c r="F50">
        <v>38.012181840183942</v>
      </c>
      <c r="G50">
        <v>26029</v>
      </c>
      <c r="H50">
        <v>1513</v>
      </c>
    </row>
    <row r="51" spans="1:8" x14ac:dyDescent="0.35">
      <c r="A51" s="1">
        <v>45530</v>
      </c>
      <c r="B51" t="s">
        <v>41</v>
      </c>
      <c r="C51">
        <v>6175</v>
      </c>
      <c r="D51">
        <v>422</v>
      </c>
      <c r="E51">
        <v>377618</v>
      </c>
      <c r="F51">
        <v>37.86101298137271</v>
      </c>
      <c r="G51">
        <v>59745</v>
      </c>
      <c r="H51">
        <v>5753</v>
      </c>
    </row>
    <row r="52" spans="1:8" x14ac:dyDescent="0.35">
      <c r="A52" s="1">
        <v>45530</v>
      </c>
      <c r="B52" t="s">
        <v>23</v>
      </c>
      <c r="C52">
        <v>9648</v>
      </c>
      <c r="D52">
        <v>1417</v>
      </c>
      <c r="E52">
        <v>385849</v>
      </c>
      <c r="F52">
        <v>3.6633501706626168</v>
      </c>
      <c r="G52">
        <v>24226</v>
      </c>
      <c r="H52">
        <v>8231</v>
      </c>
    </row>
    <row r="53" spans="1:8" x14ac:dyDescent="0.35">
      <c r="A53" s="1">
        <v>45530</v>
      </c>
      <c r="B53" t="s">
        <v>14</v>
      </c>
      <c r="C53">
        <v>6078</v>
      </c>
      <c r="D53">
        <v>775</v>
      </c>
      <c r="E53">
        <v>391152</v>
      </c>
      <c r="F53">
        <v>37.760512537325639</v>
      </c>
      <c r="G53">
        <v>38731</v>
      </c>
      <c r="H53">
        <v>5303</v>
      </c>
    </row>
    <row r="54" spans="1:8" x14ac:dyDescent="0.35">
      <c r="A54" s="1">
        <v>45537</v>
      </c>
      <c r="B54" t="s">
        <v>23</v>
      </c>
      <c r="C54">
        <v>6448</v>
      </c>
      <c r="D54">
        <v>928</v>
      </c>
      <c r="E54">
        <v>396672</v>
      </c>
      <c r="F54">
        <v>30.118586640851881</v>
      </c>
      <c r="G54">
        <v>53922</v>
      </c>
      <c r="H54">
        <v>5520</v>
      </c>
    </row>
    <row r="55" spans="1:8" x14ac:dyDescent="0.35">
      <c r="A55" s="1">
        <v>45537</v>
      </c>
      <c r="B55" t="s">
        <v>23</v>
      </c>
      <c r="C55">
        <v>2179</v>
      </c>
      <c r="D55">
        <v>303</v>
      </c>
      <c r="E55">
        <v>398548</v>
      </c>
      <c r="F55">
        <v>33.909842729106657</v>
      </c>
      <c r="G55">
        <v>54848</v>
      </c>
      <c r="H55">
        <v>1876</v>
      </c>
    </row>
    <row r="56" spans="1:8" x14ac:dyDescent="0.35">
      <c r="A56" s="1">
        <v>45537</v>
      </c>
      <c r="B56" t="s">
        <v>41</v>
      </c>
      <c r="C56">
        <v>7406</v>
      </c>
      <c r="D56">
        <v>813</v>
      </c>
      <c r="E56">
        <v>405141</v>
      </c>
      <c r="F56">
        <v>24.457411123534769</v>
      </c>
      <c r="G56">
        <v>13390</v>
      </c>
      <c r="H56">
        <v>6593</v>
      </c>
    </row>
    <row r="57" spans="1:8" x14ac:dyDescent="0.35">
      <c r="A57" s="1">
        <v>45537</v>
      </c>
      <c r="B57" t="s">
        <v>19</v>
      </c>
      <c r="C57">
        <v>9591</v>
      </c>
      <c r="D57">
        <v>1363</v>
      </c>
      <c r="E57">
        <v>413369</v>
      </c>
      <c r="F57">
        <v>10.494255737609739</v>
      </c>
      <c r="G57">
        <v>15997</v>
      </c>
      <c r="H57">
        <v>8228</v>
      </c>
    </row>
    <row r="58" spans="1:8" x14ac:dyDescent="0.35">
      <c r="A58" s="1">
        <v>45544</v>
      </c>
      <c r="B58" t="s">
        <v>23</v>
      </c>
      <c r="C58">
        <v>7907</v>
      </c>
      <c r="D58">
        <v>465</v>
      </c>
      <c r="E58">
        <v>420811</v>
      </c>
      <c r="F58">
        <v>33.257448118038738</v>
      </c>
      <c r="G58">
        <v>22693</v>
      </c>
      <c r="H58">
        <v>7442</v>
      </c>
    </row>
    <row r="59" spans="1:8" x14ac:dyDescent="0.35">
      <c r="A59" s="1">
        <v>45544</v>
      </c>
      <c r="B59" t="s">
        <v>14</v>
      </c>
      <c r="C59">
        <v>9800</v>
      </c>
      <c r="D59">
        <v>682</v>
      </c>
      <c r="E59">
        <v>429929</v>
      </c>
      <c r="F59">
        <v>6.2966210699906267</v>
      </c>
      <c r="G59">
        <v>59815</v>
      </c>
      <c r="H59">
        <v>9118</v>
      </c>
    </row>
    <row r="60" spans="1:8" x14ac:dyDescent="0.35">
      <c r="A60" s="1">
        <v>45544</v>
      </c>
      <c r="B60" t="s">
        <v>14</v>
      </c>
      <c r="C60">
        <v>2638</v>
      </c>
      <c r="D60">
        <v>143</v>
      </c>
      <c r="E60">
        <v>432424</v>
      </c>
      <c r="F60">
        <v>6.9547481175882924</v>
      </c>
      <c r="G60">
        <v>52092</v>
      </c>
      <c r="H60">
        <v>2495</v>
      </c>
    </row>
    <row r="61" spans="1:8" x14ac:dyDescent="0.35">
      <c r="A61" s="1">
        <v>45544</v>
      </c>
      <c r="B61" t="s">
        <v>19</v>
      </c>
      <c r="C61">
        <v>6671</v>
      </c>
      <c r="D61">
        <v>550</v>
      </c>
      <c r="E61">
        <v>438545</v>
      </c>
      <c r="F61">
        <v>17.750287883797562</v>
      </c>
      <c r="G61">
        <v>10541</v>
      </c>
      <c r="H61">
        <v>6121</v>
      </c>
    </row>
    <row r="62" spans="1:8" x14ac:dyDescent="0.35">
      <c r="A62" s="1">
        <v>45551</v>
      </c>
      <c r="B62" t="s">
        <v>14</v>
      </c>
      <c r="C62">
        <v>7928</v>
      </c>
      <c r="D62">
        <v>704</v>
      </c>
      <c r="E62">
        <v>445769</v>
      </c>
      <c r="F62">
        <v>11.194362999670229</v>
      </c>
      <c r="G62">
        <v>31817</v>
      </c>
      <c r="H62">
        <v>7224</v>
      </c>
    </row>
    <row r="63" spans="1:8" x14ac:dyDescent="0.35">
      <c r="A63" s="1">
        <v>45551</v>
      </c>
      <c r="B63" t="s">
        <v>19</v>
      </c>
      <c r="C63">
        <v>2382</v>
      </c>
      <c r="D63">
        <v>183</v>
      </c>
      <c r="E63">
        <v>447968</v>
      </c>
      <c r="F63">
        <v>4.7335970426459033</v>
      </c>
      <c r="G63">
        <v>47861</v>
      </c>
      <c r="H63">
        <v>2199</v>
      </c>
    </row>
    <row r="64" spans="1:8" x14ac:dyDescent="0.35">
      <c r="A64" s="1">
        <v>45551</v>
      </c>
      <c r="B64" t="s">
        <v>14</v>
      </c>
      <c r="C64">
        <v>2403</v>
      </c>
      <c r="D64">
        <v>319</v>
      </c>
      <c r="E64">
        <v>450052</v>
      </c>
      <c r="F64">
        <v>29.92120910472568</v>
      </c>
      <c r="G64">
        <v>23428</v>
      </c>
      <c r="H64">
        <v>2084</v>
      </c>
    </row>
    <row r="65" spans="1:8" x14ac:dyDescent="0.35">
      <c r="A65" s="1">
        <v>45551</v>
      </c>
      <c r="B65" t="s">
        <v>41</v>
      </c>
      <c r="C65">
        <v>4292</v>
      </c>
      <c r="D65">
        <v>367</v>
      </c>
      <c r="E65">
        <v>453977</v>
      </c>
      <c r="F65">
        <v>3.5037017293827661</v>
      </c>
      <c r="G65">
        <v>53934</v>
      </c>
      <c r="H65">
        <v>3925</v>
      </c>
    </row>
    <row r="66" spans="1:8" x14ac:dyDescent="0.35">
      <c r="A66" s="1">
        <v>45558</v>
      </c>
      <c r="B66" t="s">
        <v>23</v>
      </c>
      <c r="C66">
        <v>1419</v>
      </c>
      <c r="D66">
        <v>110</v>
      </c>
      <c r="E66">
        <v>455286</v>
      </c>
      <c r="F66">
        <v>31.554451487636339</v>
      </c>
      <c r="G66">
        <v>58831</v>
      </c>
      <c r="H66">
        <v>1309</v>
      </c>
    </row>
    <row r="67" spans="1:8" x14ac:dyDescent="0.35">
      <c r="A67" s="1">
        <v>45558</v>
      </c>
      <c r="B67" t="s">
        <v>41</v>
      </c>
      <c r="C67">
        <v>5517</v>
      </c>
      <c r="D67">
        <v>575</v>
      </c>
      <c r="E67">
        <v>460228</v>
      </c>
      <c r="F67">
        <v>29.45844233727631</v>
      </c>
      <c r="G67">
        <v>20258</v>
      </c>
      <c r="H67">
        <v>4942</v>
      </c>
    </row>
    <row r="68" spans="1:8" x14ac:dyDescent="0.35">
      <c r="A68" s="1">
        <v>45558</v>
      </c>
      <c r="B68" t="s">
        <v>23</v>
      </c>
      <c r="C68">
        <v>4302</v>
      </c>
      <c r="D68">
        <v>275</v>
      </c>
      <c r="E68">
        <v>464255</v>
      </c>
      <c r="F68">
        <v>15.72131694865968</v>
      </c>
      <c r="G68">
        <v>26044</v>
      </c>
      <c r="H68">
        <v>4027</v>
      </c>
    </row>
    <row r="69" spans="1:8" x14ac:dyDescent="0.35">
      <c r="A69" s="1">
        <v>45558</v>
      </c>
      <c r="B69" t="s">
        <v>23</v>
      </c>
      <c r="C69">
        <v>8857</v>
      </c>
      <c r="D69">
        <v>1153</v>
      </c>
      <c r="E69">
        <v>471959</v>
      </c>
      <c r="F69">
        <v>19.214592793018038</v>
      </c>
      <c r="G69">
        <v>39411</v>
      </c>
      <c r="H69">
        <v>7704</v>
      </c>
    </row>
    <row r="70" spans="1:8" x14ac:dyDescent="0.35">
      <c r="A70" s="1">
        <v>45565</v>
      </c>
      <c r="B70" t="s">
        <v>23</v>
      </c>
      <c r="C70">
        <v>8870</v>
      </c>
      <c r="D70">
        <v>509</v>
      </c>
      <c r="E70">
        <v>480320</v>
      </c>
      <c r="F70">
        <v>25.077864756828781</v>
      </c>
      <c r="G70">
        <v>15469</v>
      </c>
      <c r="H70">
        <v>8361</v>
      </c>
    </row>
    <row r="71" spans="1:8" x14ac:dyDescent="0.35">
      <c r="A71" s="1">
        <v>45565</v>
      </c>
      <c r="B71" t="s">
        <v>41</v>
      </c>
      <c r="C71">
        <v>6693</v>
      </c>
      <c r="D71">
        <v>995</v>
      </c>
      <c r="E71">
        <v>486018</v>
      </c>
      <c r="F71">
        <v>23.761877132122681</v>
      </c>
      <c r="G71">
        <v>38854</v>
      </c>
      <c r="H71">
        <v>5698</v>
      </c>
    </row>
    <row r="72" spans="1:8" x14ac:dyDescent="0.35">
      <c r="A72" s="1">
        <v>45565</v>
      </c>
      <c r="B72" t="s">
        <v>23</v>
      </c>
      <c r="C72">
        <v>1767</v>
      </c>
      <c r="D72">
        <v>224</v>
      </c>
      <c r="E72">
        <v>487561</v>
      </c>
      <c r="F72">
        <v>13.208603641390511</v>
      </c>
      <c r="G72">
        <v>16256</v>
      </c>
      <c r="H72">
        <v>1543</v>
      </c>
    </row>
    <row r="73" spans="1:8" x14ac:dyDescent="0.35">
      <c r="A73" s="1">
        <v>45565</v>
      </c>
      <c r="B73" t="s">
        <v>41</v>
      </c>
      <c r="C73">
        <v>3044</v>
      </c>
      <c r="D73">
        <v>212</v>
      </c>
      <c r="E73">
        <v>490393</v>
      </c>
      <c r="F73">
        <v>8.5343795690395261</v>
      </c>
      <c r="G73">
        <v>20720</v>
      </c>
      <c r="H73">
        <v>2832</v>
      </c>
    </row>
    <row r="74" spans="1:8" x14ac:dyDescent="0.35">
      <c r="A74" s="1">
        <v>45572</v>
      </c>
      <c r="B74" t="s">
        <v>19</v>
      </c>
      <c r="C74">
        <v>2549</v>
      </c>
      <c r="D74">
        <v>128</v>
      </c>
      <c r="E74">
        <v>492814</v>
      </c>
      <c r="F74">
        <v>12.734216154573531</v>
      </c>
      <c r="G74">
        <v>43937</v>
      </c>
      <c r="H74">
        <v>2421</v>
      </c>
    </row>
    <row r="75" spans="1:8" x14ac:dyDescent="0.35">
      <c r="A75" s="1">
        <v>45572</v>
      </c>
      <c r="B75" t="s">
        <v>14</v>
      </c>
      <c r="C75">
        <v>7140</v>
      </c>
      <c r="D75">
        <v>939</v>
      </c>
      <c r="E75">
        <v>499015</v>
      </c>
      <c r="F75">
        <v>25.120888149654821</v>
      </c>
      <c r="G75">
        <v>43598</v>
      </c>
      <c r="H75">
        <v>6201</v>
      </c>
    </row>
    <row r="76" spans="1:8" x14ac:dyDescent="0.35">
      <c r="A76" s="1">
        <v>45572</v>
      </c>
      <c r="B76" t="s">
        <v>14</v>
      </c>
      <c r="C76">
        <v>4716</v>
      </c>
      <c r="D76">
        <v>569</v>
      </c>
      <c r="E76">
        <v>503162</v>
      </c>
      <c r="F76">
        <v>25.64820077827817</v>
      </c>
      <c r="G76">
        <v>11651</v>
      </c>
      <c r="H76">
        <v>4147</v>
      </c>
    </row>
    <row r="77" spans="1:8" x14ac:dyDescent="0.35">
      <c r="A77" s="1">
        <v>45572</v>
      </c>
      <c r="B77" t="s">
        <v>23</v>
      </c>
      <c r="C77">
        <v>5481</v>
      </c>
      <c r="D77">
        <v>673</v>
      </c>
      <c r="E77">
        <v>507970</v>
      </c>
      <c r="F77">
        <v>13.08758391243577</v>
      </c>
      <c r="G77">
        <v>29194</v>
      </c>
      <c r="H77">
        <v>4808</v>
      </c>
    </row>
    <row r="78" spans="1:8" x14ac:dyDescent="0.35">
      <c r="A78" s="1">
        <v>45579</v>
      </c>
      <c r="B78" t="s">
        <v>41</v>
      </c>
      <c r="C78">
        <v>8898</v>
      </c>
      <c r="D78">
        <v>1131</v>
      </c>
      <c r="E78">
        <v>515737</v>
      </c>
      <c r="F78">
        <v>2.1877429775253669</v>
      </c>
      <c r="G78">
        <v>35051</v>
      </c>
      <c r="H78">
        <v>7767</v>
      </c>
    </row>
    <row r="79" spans="1:8" x14ac:dyDescent="0.35">
      <c r="A79" s="1">
        <v>45579</v>
      </c>
      <c r="B79" t="s">
        <v>14</v>
      </c>
      <c r="C79">
        <v>7548</v>
      </c>
      <c r="D79">
        <v>433</v>
      </c>
      <c r="E79">
        <v>522852</v>
      </c>
      <c r="F79">
        <v>8.3562843787534522</v>
      </c>
      <c r="G79">
        <v>37386</v>
      </c>
      <c r="H79">
        <v>7115</v>
      </c>
    </row>
    <row r="80" spans="1:8" x14ac:dyDescent="0.35">
      <c r="A80" s="1">
        <v>45579</v>
      </c>
      <c r="B80" t="s">
        <v>41</v>
      </c>
      <c r="C80">
        <v>3293</v>
      </c>
      <c r="D80">
        <v>282</v>
      </c>
      <c r="E80">
        <v>525863</v>
      </c>
      <c r="F80">
        <v>27.040693108281051</v>
      </c>
      <c r="G80">
        <v>19518</v>
      </c>
      <c r="H80">
        <v>3011</v>
      </c>
    </row>
    <row r="81" spans="1:8" x14ac:dyDescent="0.35">
      <c r="A81" s="1">
        <v>45579</v>
      </c>
      <c r="B81" t="s">
        <v>41</v>
      </c>
      <c r="C81">
        <v>5837</v>
      </c>
      <c r="D81">
        <v>359</v>
      </c>
      <c r="E81">
        <v>531341</v>
      </c>
      <c r="F81">
        <v>6.8073045370110723</v>
      </c>
      <c r="G81">
        <v>56026</v>
      </c>
      <c r="H81">
        <v>5478</v>
      </c>
    </row>
    <row r="82" spans="1:8" x14ac:dyDescent="0.35">
      <c r="A82" s="1">
        <v>45586</v>
      </c>
      <c r="B82" t="s">
        <v>23</v>
      </c>
      <c r="C82">
        <v>8758</v>
      </c>
      <c r="D82">
        <v>1193</v>
      </c>
      <c r="E82">
        <v>538906</v>
      </c>
      <c r="F82">
        <v>3.4213758985797149</v>
      </c>
      <c r="G82">
        <v>26184</v>
      </c>
      <c r="H82">
        <v>7565</v>
      </c>
    </row>
    <row r="83" spans="1:8" x14ac:dyDescent="0.35">
      <c r="A83" s="1">
        <v>45586</v>
      </c>
      <c r="B83" t="s">
        <v>14</v>
      </c>
      <c r="C83">
        <v>7793</v>
      </c>
      <c r="D83">
        <v>875</v>
      </c>
      <c r="E83">
        <v>545824</v>
      </c>
      <c r="F83">
        <v>5.5136820660139527</v>
      </c>
      <c r="G83">
        <v>43787</v>
      </c>
      <c r="H83">
        <v>6918</v>
      </c>
    </row>
    <row r="84" spans="1:8" x14ac:dyDescent="0.35">
      <c r="A84" s="1">
        <v>45586</v>
      </c>
      <c r="B84" t="s">
        <v>23</v>
      </c>
      <c r="C84">
        <v>8638</v>
      </c>
      <c r="D84">
        <v>717</v>
      </c>
      <c r="E84">
        <v>553745</v>
      </c>
      <c r="F84">
        <v>26.921416897669499</v>
      </c>
      <c r="G84">
        <v>31621</v>
      </c>
      <c r="H84">
        <v>7921</v>
      </c>
    </row>
    <row r="85" spans="1:8" x14ac:dyDescent="0.35">
      <c r="A85" s="1">
        <v>45586</v>
      </c>
      <c r="B85" t="s">
        <v>23</v>
      </c>
      <c r="C85">
        <v>8993</v>
      </c>
      <c r="D85">
        <v>506</v>
      </c>
      <c r="E85">
        <v>562232</v>
      </c>
      <c r="F85">
        <v>3.5131404829323132</v>
      </c>
      <c r="G85">
        <v>20028</v>
      </c>
      <c r="H85">
        <v>8487</v>
      </c>
    </row>
    <row r="86" spans="1:8" x14ac:dyDescent="0.35">
      <c r="A86" s="1">
        <v>45593</v>
      </c>
      <c r="B86" t="s">
        <v>14</v>
      </c>
      <c r="C86">
        <v>7007</v>
      </c>
      <c r="D86">
        <v>568</v>
      </c>
      <c r="E86">
        <v>568671</v>
      </c>
      <c r="F86">
        <v>11.50507059442103</v>
      </c>
      <c r="G86">
        <v>22448</v>
      </c>
      <c r="H86">
        <v>6439</v>
      </c>
    </row>
    <row r="87" spans="1:8" x14ac:dyDescent="0.35">
      <c r="A87" s="1">
        <v>45593</v>
      </c>
      <c r="B87" t="s">
        <v>14</v>
      </c>
      <c r="C87">
        <v>6542</v>
      </c>
      <c r="D87">
        <v>539</v>
      </c>
      <c r="E87">
        <v>574674</v>
      </c>
      <c r="F87">
        <v>6.4069368024305948</v>
      </c>
      <c r="G87">
        <v>55253</v>
      </c>
      <c r="H87">
        <v>6003</v>
      </c>
    </row>
    <row r="88" spans="1:8" x14ac:dyDescent="0.35">
      <c r="A88" s="1">
        <v>45593</v>
      </c>
      <c r="B88" t="s">
        <v>19</v>
      </c>
      <c r="C88">
        <v>7356</v>
      </c>
      <c r="D88">
        <v>904</v>
      </c>
      <c r="E88">
        <v>581126</v>
      </c>
      <c r="F88">
        <v>17.560907617280929</v>
      </c>
      <c r="G88">
        <v>44051</v>
      </c>
      <c r="H88">
        <v>6452</v>
      </c>
    </row>
    <row r="89" spans="1:8" x14ac:dyDescent="0.35">
      <c r="A89" s="1">
        <v>45593</v>
      </c>
      <c r="B89" t="s">
        <v>19</v>
      </c>
      <c r="C89">
        <v>9433</v>
      </c>
      <c r="D89">
        <v>1073</v>
      </c>
      <c r="E89">
        <v>589486</v>
      </c>
      <c r="F89">
        <v>7.2934726185185053</v>
      </c>
      <c r="G89">
        <v>59811</v>
      </c>
      <c r="H89">
        <v>8360</v>
      </c>
    </row>
    <row r="90" spans="1:8" x14ac:dyDescent="0.35">
      <c r="A90" s="1">
        <v>45600</v>
      </c>
      <c r="B90" t="s">
        <v>41</v>
      </c>
      <c r="C90">
        <v>8380</v>
      </c>
      <c r="D90">
        <v>1162</v>
      </c>
      <c r="E90">
        <v>596704</v>
      </c>
      <c r="F90">
        <v>18.05853488496809</v>
      </c>
      <c r="G90">
        <v>40447</v>
      </c>
      <c r="H90">
        <v>7218</v>
      </c>
    </row>
    <row r="91" spans="1:8" x14ac:dyDescent="0.35">
      <c r="A91" s="1">
        <v>45600</v>
      </c>
      <c r="B91" t="s">
        <v>14</v>
      </c>
      <c r="C91">
        <v>3385</v>
      </c>
      <c r="D91">
        <v>329</v>
      </c>
      <c r="E91">
        <v>599760</v>
      </c>
      <c r="F91">
        <v>17.61788048552755</v>
      </c>
      <c r="G91">
        <v>28394</v>
      </c>
      <c r="H91">
        <v>3056</v>
      </c>
    </row>
    <row r="92" spans="1:8" x14ac:dyDescent="0.35">
      <c r="A92" s="1">
        <v>45600</v>
      </c>
      <c r="B92" t="s">
        <v>19</v>
      </c>
      <c r="C92">
        <v>5268</v>
      </c>
      <c r="D92">
        <v>326</v>
      </c>
      <c r="E92">
        <v>604702</v>
      </c>
      <c r="F92">
        <v>23.435841125050029</v>
      </c>
      <c r="G92">
        <v>44501</v>
      </c>
      <c r="H92">
        <v>4942</v>
      </c>
    </row>
    <row r="93" spans="1:8" x14ac:dyDescent="0.35">
      <c r="A93" s="1">
        <v>45600</v>
      </c>
      <c r="B93" t="s">
        <v>41</v>
      </c>
      <c r="C93">
        <v>1671</v>
      </c>
      <c r="D93">
        <v>202</v>
      </c>
      <c r="E93">
        <v>606171</v>
      </c>
      <c r="F93">
        <v>15.150015424690389</v>
      </c>
      <c r="G93">
        <v>40254</v>
      </c>
      <c r="H93">
        <v>1469</v>
      </c>
    </row>
    <row r="94" spans="1:8" x14ac:dyDescent="0.35">
      <c r="A94" s="1">
        <v>45607</v>
      </c>
      <c r="B94" t="s">
        <v>41</v>
      </c>
      <c r="C94">
        <v>1163</v>
      </c>
      <c r="D94">
        <v>146</v>
      </c>
      <c r="E94">
        <v>607188</v>
      </c>
      <c r="F94">
        <v>21.77776899411715</v>
      </c>
      <c r="G94">
        <v>28509</v>
      </c>
      <c r="H94">
        <v>1017</v>
      </c>
    </row>
    <row r="95" spans="1:8" x14ac:dyDescent="0.35">
      <c r="A95" s="1">
        <v>45607</v>
      </c>
      <c r="B95" t="s">
        <v>41</v>
      </c>
      <c r="C95">
        <v>9656</v>
      </c>
      <c r="D95">
        <v>1024</v>
      </c>
      <c r="E95">
        <v>615820</v>
      </c>
      <c r="F95">
        <v>8.7252768666168681</v>
      </c>
      <c r="G95">
        <v>58998</v>
      </c>
      <c r="H95">
        <v>8632</v>
      </c>
    </row>
    <row r="96" spans="1:8" x14ac:dyDescent="0.35">
      <c r="A96" s="1">
        <v>45607</v>
      </c>
      <c r="B96" t="s">
        <v>19</v>
      </c>
      <c r="C96">
        <v>5592</v>
      </c>
      <c r="D96">
        <v>710</v>
      </c>
      <c r="E96">
        <v>620702</v>
      </c>
      <c r="F96">
        <v>9.07118069540617</v>
      </c>
      <c r="G96">
        <v>24472</v>
      </c>
      <c r="H96">
        <v>4882</v>
      </c>
    </row>
    <row r="97" spans="1:8" x14ac:dyDescent="0.35">
      <c r="A97" s="1">
        <v>45607</v>
      </c>
      <c r="B97" t="s">
        <v>14</v>
      </c>
      <c r="C97">
        <v>5795</v>
      </c>
      <c r="D97">
        <v>575</v>
      </c>
      <c r="E97">
        <v>625922</v>
      </c>
      <c r="F97">
        <v>3.0908004511744269</v>
      </c>
      <c r="G97">
        <v>55657</v>
      </c>
      <c r="H97">
        <v>5220</v>
      </c>
    </row>
    <row r="98" spans="1:8" x14ac:dyDescent="0.35">
      <c r="A98" s="1">
        <v>45614</v>
      </c>
      <c r="B98" t="s">
        <v>23</v>
      </c>
      <c r="C98">
        <v>5798</v>
      </c>
      <c r="D98">
        <v>592</v>
      </c>
      <c r="E98">
        <v>631128</v>
      </c>
      <c r="F98">
        <v>1.6774727155188811</v>
      </c>
      <c r="G98">
        <v>13471</v>
      </c>
      <c r="H98">
        <v>5206</v>
      </c>
    </row>
    <row r="99" spans="1:8" x14ac:dyDescent="0.35">
      <c r="A99" s="1">
        <v>45614</v>
      </c>
      <c r="B99" t="s">
        <v>41</v>
      </c>
      <c r="C99">
        <v>7036</v>
      </c>
      <c r="D99">
        <v>652</v>
      </c>
      <c r="E99">
        <v>637512</v>
      </c>
      <c r="F99">
        <v>3.5705994553828009</v>
      </c>
      <c r="G99">
        <v>51796</v>
      </c>
      <c r="H99">
        <v>6384</v>
      </c>
    </row>
    <row r="100" spans="1:8" x14ac:dyDescent="0.35">
      <c r="A100" s="1">
        <v>45614</v>
      </c>
      <c r="B100" t="s">
        <v>19</v>
      </c>
      <c r="C100">
        <v>3355</v>
      </c>
      <c r="D100">
        <v>176</v>
      </c>
      <c r="E100">
        <v>640691</v>
      </c>
      <c r="F100">
        <v>12.426427091999111</v>
      </c>
      <c r="G100">
        <v>40268</v>
      </c>
      <c r="H100">
        <v>3179</v>
      </c>
    </row>
    <row r="101" spans="1:8" x14ac:dyDescent="0.35">
      <c r="A101" s="1">
        <v>45614</v>
      </c>
      <c r="B101" t="s">
        <v>19</v>
      </c>
      <c r="C101">
        <v>6887</v>
      </c>
      <c r="D101">
        <v>418</v>
      </c>
      <c r="E101">
        <v>647160</v>
      </c>
      <c r="F101">
        <v>20.240280610668151</v>
      </c>
      <c r="G101">
        <v>18329</v>
      </c>
      <c r="H101">
        <v>6469</v>
      </c>
    </row>
    <row r="102" spans="1:8" x14ac:dyDescent="0.35">
      <c r="A102" s="1">
        <v>45621</v>
      </c>
      <c r="B102" t="s">
        <v>23</v>
      </c>
      <c r="C102">
        <v>8961</v>
      </c>
      <c r="D102">
        <v>476</v>
      </c>
      <c r="E102">
        <v>655645</v>
      </c>
      <c r="F102">
        <v>15.458517947974901</v>
      </c>
      <c r="G102">
        <v>44865</v>
      </c>
      <c r="H102">
        <v>8485</v>
      </c>
    </row>
    <row r="103" spans="1:8" x14ac:dyDescent="0.35">
      <c r="A103" s="1">
        <v>45621</v>
      </c>
      <c r="B103" t="s">
        <v>23</v>
      </c>
      <c r="C103">
        <v>6827</v>
      </c>
      <c r="D103">
        <v>775</v>
      </c>
      <c r="E103">
        <v>661697</v>
      </c>
      <c r="F103">
        <v>15.96622018839439</v>
      </c>
      <c r="G103">
        <v>56850</v>
      </c>
      <c r="H103">
        <v>6052</v>
      </c>
    </row>
    <row r="104" spans="1:8" x14ac:dyDescent="0.35">
      <c r="A104" s="1">
        <v>45621</v>
      </c>
      <c r="B104" t="s">
        <v>19</v>
      </c>
      <c r="C104">
        <v>9737</v>
      </c>
      <c r="D104">
        <v>792</v>
      </c>
      <c r="E104">
        <v>670642</v>
      </c>
      <c r="F104">
        <v>5.301785453341723</v>
      </c>
      <c r="G104">
        <v>56698</v>
      </c>
      <c r="H104">
        <v>8945</v>
      </c>
    </row>
    <row r="105" spans="1:8" x14ac:dyDescent="0.35">
      <c r="A105" s="1">
        <v>45621</v>
      </c>
      <c r="B105" t="s">
        <v>14</v>
      </c>
      <c r="C105">
        <v>5719</v>
      </c>
      <c r="D105">
        <v>576</v>
      </c>
      <c r="E105">
        <v>675785</v>
      </c>
      <c r="F105">
        <v>10.21656296011305</v>
      </c>
      <c r="G105">
        <v>38272</v>
      </c>
      <c r="H105">
        <v>5143</v>
      </c>
    </row>
    <row r="106" spans="1:8" x14ac:dyDescent="0.35">
      <c r="A106" s="1">
        <v>45628</v>
      </c>
      <c r="B106" t="s">
        <v>23</v>
      </c>
      <c r="C106">
        <v>1593</v>
      </c>
      <c r="D106">
        <v>224</v>
      </c>
      <c r="E106">
        <v>677154</v>
      </c>
      <c r="F106">
        <v>4.1495730660972248</v>
      </c>
      <c r="G106">
        <v>52845</v>
      </c>
      <c r="H106">
        <v>1369</v>
      </c>
    </row>
    <row r="107" spans="1:8" x14ac:dyDescent="0.35">
      <c r="A107" s="1">
        <v>45628</v>
      </c>
      <c r="B107" t="s">
        <v>19</v>
      </c>
      <c r="C107">
        <v>5839</v>
      </c>
      <c r="D107">
        <v>437</v>
      </c>
      <c r="E107">
        <v>682556</v>
      </c>
      <c r="F107">
        <v>17.44750613869045</v>
      </c>
      <c r="G107">
        <v>16397</v>
      </c>
      <c r="H107">
        <v>5402</v>
      </c>
    </row>
    <row r="108" spans="1:8" x14ac:dyDescent="0.35">
      <c r="A108" s="1">
        <v>45628</v>
      </c>
      <c r="B108" t="s">
        <v>23</v>
      </c>
      <c r="C108">
        <v>8394</v>
      </c>
      <c r="D108">
        <v>764</v>
      </c>
      <c r="E108">
        <v>690186</v>
      </c>
      <c r="F108">
        <v>6.3556780346167558</v>
      </c>
      <c r="G108">
        <v>42373</v>
      </c>
      <c r="H108">
        <v>7630</v>
      </c>
    </row>
    <row r="109" spans="1:8" x14ac:dyDescent="0.35">
      <c r="A109" s="1">
        <v>45628</v>
      </c>
      <c r="B109" t="s">
        <v>14</v>
      </c>
      <c r="C109">
        <v>4493</v>
      </c>
      <c r="D109">
        <v>564</v>
      </c>
      <c r="E109">
        <v>694115</v>
      </c>
      <c r="F109">
        <v>16.625487131094989</v>
      </c>
      <c r="G109">
        <v>45525</v>
      </c>
      <c r="H109">
        <v>3929</v>
      </c>
    </row>
    <row r="110" spans="1:8" x14ac:dyDescent="0.35">
      <c r="A110" s="1">
        <v>45635</v>
      </c>
      <c r="B110" t="s">
        <v>41</v>
      </c>
      <c r="C110">
        <v>7164</v>
      </c>
      <c r="D110">
        <v>522</v>
      </c>
      <c r="E110">
        <v>700757</v>
      </c>
      <c r="F110">
        <v>13.449169969047761</v>
      </c>
      <c r="G110">
        <v>34570</v>
      </c>
      <c r="H110">
        <v>6642</v>
      </c>
    </row>
    <row r="111" spans="1:8" x14ac:dyDescent="0.35">
      <c r="A111" s="1">
        <v>45635</v>
      </c>
      <c r="B111" t="s">
        <v>23</v>
      </c>
      <c r="C111">
        <v>3672</v>
      </c>
      <c r="D111">
        <v>211</v>
      </c>
      <c r="E111">
        <v>704218</v>
      </c>
      <c r="F111">
        <v>12.35057894004413</v>
      </c>
      <c r="G111">
        <v>28284</v>
      </c>
      <c r="H111">
        <v>3461</v>
      </c>
    </row>
    <row r="112" spans="1:8" x14ac:dyDescent="0.35">
      <c r="A112" s="1">
        <v>45635</v>
      </c>
      <c r="B112" t="s">
        <v>14</v>
      </c>
      <c r="C112">
        <v>5200</v>
      </c>
      <c r="D112">
        <v>410</v>
      </c>
      <c r="E112">
        <v>709008</v>
      </c>
      <c r="F112">
        <v>12.913394489201821</v>
      </c>
      <c r="G112">
        <v>28994</v>
      </c>
      <c r="H112">
        <v>4790</v>
      </c>
    </row>
    <row r="113" spans="1:8" x14ac:dyDescent="0.35">
      <c r="A113" s="1">
        <v>45635</v>
      </c>
      <c r="B113" t="s">
        <v>19</v>
      </c>
      <c r="C113">
        <v>1016</v>
      </c>
      <c r="D113">
        <v>67</v>
      </c>
      <c r="E113">
        <v>709957</v>
      </c>
      <c r="F113">
        <v>20.774215903216671</v>
      </c>
      <c r="G113">
        <v>33284</v>
      </c>
      <c r="H113">
        <v>949</v>
      </c>
    </row>
    <row r="114" spans="1:8" x14ac:dyDescent="0.35">
      <c r="A114" s="1">
        <v>45642</v>
      </c>
      <c r="B114" t="s">
        <v>23</v>
      </c>
      <c r="C114">
        <v>4191</v>
      </c>
      <c r="D114">
        <v>599</v>
      </c>
      <c r="E114">
        <v>713549</v>
      </c>
      <c r="F114">
        <v>11.56416728213479</v>
      </c>
      <c r="G114">
        <v>27833</v>
      </c>
      <c r="H114">
        <v>3592</v>
      </c>
    </row>
    <row r="115" spans="1:8" x14ac:dyDescent="0.35">
      <c r="A115" s="1">
        <v>45642</v>
      </c>
      <c r="B115" t="s">
        <v>23</v>
      </c>
      <c r="C115">
        <v>1392</v>
      </c>
      <c r="D115">
        <v>182</v>
      </c>
      <c r="E115">
        <v>714759</v>
      </c>
      <c r="F115">
        <v>5.9603306848881932</v>
      </c>
      <c r="G115">
        <v>35122</v>
      </c>
      <c r="H115">
        <v>1210</v>
      </c>
    </row>
    <row r="116" spans="1:8" x14ac:dyDescent="0.35">
      <c r="A116" s="1">
        <v>45642</v>
      </c>
      <c r="B116" t="s">
        <v>19</v>
      </c>
      <c r="C116">
        <v>9616</v>
      </c>
      <c r="D116">
        <v>1089</v>
      </c>
      <c r="E116">
        <v>723286</v>
      </c>
      <c r="F116">
        <v>19.25863351426683</v>
      </c>
      <c r="G116">
        <v>15017</v>
      </c>
      <c r="H116">
        <v>8527</v>
      </c>
    </row>
    <row r="117" spans="1:8" x14ac:dyDescent="0.35">
      <c r="A117" s="1">
        <v>45642</v>
      </c>
      <c r="B117" t="s">
        <v>41</v>
      </c>
      <c r="C117">
        <v>7272</v>
      </c>
      <c r="D117">
        <v>997</v>
      </c>
      <c r="E117">
        <v>729561</v>
      </c>
      <c r="F117">
        <v>13.428486445958599</v>
      </c>
      <c r="G117">
        <v>26370</v>
      </c>
      <c r="H117">
        <v>6275</v>
      </c>
    </row>
    <row r="118" spans="1:8" x14ac:dyDescent="0.35">
      <c r="A118" s="1">
        <v>45649</v>
      </c>
      <c r="B118" t="s">
        <v>19</v>
      </c>
      <c r="C118">
        <v>1571</v>
      </c>
      <c r="D118">
        <v>204</v>
      </c>
      <c r="E118">
        <v>730928</v>
      </c>
      <c r="F118">
        <v>19.449384891535139</v>
      </c>
      <c r="G118">
        <v>39252</v>
      </c>
      <c r="H118">
        <v>1367</v>
      </c>
    </row>
    <row r="119" spans="1:8" x14ac:dyDescent="0.35">
      <c r="A119" s="1">
        <v>45649</v>
      </c>
      <c r="B119" t="s">
        <v>23</v>
      </c>
      <c r="C119">
        <v>4631</v>
      </c>
      <c r="D119">
        <v>317</v>
      </c>
      <c r="E119">
        <v>735242</v>
      </c>
      <c r="F119">
        <v>1.381177897889402</v>
      </c>
      <c r="G119">
        <v>17999</v>
      </c>
      <c r="H119">
        <v>4314</v>
      </c>
    </row>
    <row r="120" spans="1:8" x14ac:dyDescent="0.35">
      <c r="A120" s="1">
        <v>45649</v>
      </c>
      <c r="B120" t="s">
        <v>19</v>
      </c>
      <c r="C120">
        <v>7172</v>
      </c>
      <c r="D120">
        <v>998</v>
      </c>
      <c r="E120">
        <v>741416</v>
      </c>
      <c r="F120">
        <v>18.0667803230575</v>
      </c>
      <c r="G120">
        <v>32436</v>
      </c>
      <c r="H120">
        <v>6174</v>
      </c>
    </row>
    <row r="121" spans="1:8" x14ac:dyDescent="0.35">
      <c r="A121" s="1">
        <v>45649</v>
      </c>
      <c r="B121" t="s">
        <v>14</v>
      </c>
      <c r="C121">
        <v>8177</v>
      </c>
      <c r="D121">
        <v>849</v>
      </c>
      <c r="E121">
        <v>748744</v>
      </c>
      <c r="F121">
        <v>10.34986590877523</v>
      </c>
      <c r="G121">
        <v>52963</v>
      </c>
      <c r="H121">
        <v>7328</v>
      </c>
    </row>
    <row r="122" spans="1:8" x14ac:dyDescent="0.35">
      <c r="A122" s="1">
        <v>45656</v>
      </c>
      <c r="B122" t="s">
        <v>19</v>
      </c>
      <c r="C122">
        <v>9433</v>
      </c>
      <c r="D122">
        <v>1233</v>
      </c>
      <c r="E122">
        <v>756944</v>
      </c>
      <c r="F122">
        <v>11.391727789638329</v>
      </c>
      <c r="G122">
        <v>12096</v>
      </c>
      <c r="H122">
        <v>8200</v>
      </c>
    </row>
    <row r="123" spans="1:8" x14ac:dyDescent="0.35">
      <c r="A123" s="1">
        <v>45656</v>
      </c>
      <c r="B123" t="s">
        <v>23</v>
      </c>
      <c r="C123">
        <v>4897</v>
      </c>
      <c r="D123">
        <v>683</v>
      </c>
      <c r="E123">
        <v>761158</v>
      </c>
      <c r="F123">
        <v>15.06231294947961</v>
      </c>
      <c r="G123">
        <v>58201</v>
      </c>
      <c r="H123">
        <v>4214</v>
      </c>
    </row>
    <row r="124" spans="1:8" x14ac:dyDescent="0.35">
      <c r="A124" s="1">
        <v>45656</v>
      </c>
      <c r="B124" t="s">
        <v>19</v>
      </c>
      <c r="C124">
        <v>9123</v>
      </c>
      <c r="D124">
        <v>746</v>
      </c>
      <c r="E124">
        <v>769535</v>
      </c>
      <c r="F124">
        <v>6.3086149427901264</v>
      </c>
      <c r="G124">
        <v>35279</v>
      </c>
      <c r="H124">
        <v>8377</v>
      </c>
    </row>
    <row r="125" spans="1:8" x14ac:dyDescent="0.35">
      <c r="A125" s="1">
        <v>45656</v>
      </c>
      <c r="B125" t="s">
        <v>41</v>
      </c>
      <c r="C125">
        <v>3279</v>
      </c>
      <c r="D125">
        <v>200</v>
      </c>
      <c r="E125">
        <v>772614</v>
      </c>
      <c r="F125">
        <v>5.0212654702089274</v>
      </c>
      <c r="G125">
        <v>53363</v>
      </c>
      <c r="H125">
        <v>3079</v>
      </c>
    </row>
    <row r="126" spans="1:8" x14ac:dyDescent="0.35">
      <c r="A126" s="1">
        <v>45663</v>
      </c>
      <c r="B126" t="s">
        <v>19</v>
      </c>
      <c r="C126">
        <v>9980</v>
      </c>
      <c r="D126">
        <v>726</v>
      </c>
      <c r="E126">
        <v>781868</v>
      </c>
      <c r="F126">
        <v>4.0220344099003924</v>
      </c>
      <c r="G126">
        <v>58709</v>
      </c>
      <c r="H126">
        <v>9254</v>
      </c>
    </row>
    <row r="127" spans="1:8" x14ac:dyDescent="0.35">
      <c r="A127" s="1">
        <v>45663</v>
      </c>
      <c r="B127" t="s">
        <v>41</v>
      </c>
      <c r="C127">
        <v>8451</v>
      </c>
      <c r="D127">
        <v>783</v>
      </c>
      <c r="E127">
        <v>789536</v>
      </c>
      <c r="F127">
        <v>12.407287318121019</v>
      </c>
      <c r="G127">
        <v>36201</v>
      </c>
      <c r="H127">
        <v>7668</v>
      </c>
    </row>
    <row r="128" spans="1:8" x14ac:dyDescent="0.35">
      <c r="A128" s="1">
        <v>45663</v>
      </c>
      <c r="B128" t="s">
        <v>14</v>
      </c>
      <c r="C128">
        <v>9906</v>
      </c>
      <c r="D128">
        <v>1305</v>
      </c>
      <c r="E128">
        <v>798137</v>
      </c>
      <c r="F128">
        <v>9.1811305577864442</v>
      </c>
      <c r="G128">
        <v>29715</v>
      </c>
      <c r="H128">
        <v>8601</v>
      </c>
    </row>
    <row r="129" spans="1:8" x14ac:dyDescent="0.35">
      <c r="A129" s="1">
        <v>45663</v>
      </c>
      <c r="B129" t="s">
        <v>41</v>
      </c>
      <c r="C129">
        <v>1775</v>
      </c>
      <c r="D129">
        <v>241</v>
      </c>
      <c r="E129">
        <v>799671</v>
      </c>
      <c r="F129">
        <v>8.1379717408784362</v>
      </c>
      <c r="G129">
        <v>39309</v>
      </c>
      <c r="H129">
        <v>1534</v>
      </c>
    </row>
    <row r="130" spans="1:8" x14ac:dyDescent="0.35">
      <c r="A130" s="1">
        <v>45670</v>
      </c>
      <c r="B130" t="s">
        <v>19</v>
      </c>
      <c r="C130">
        <v>7869</v>
      </c>
      <c r="D130">
        <v>398</v>
      </c>
      <c r="E130">
        <v>807142</v>
      </c>
      <c r="F130">
        <v>15.211945357818079</v>
      </c>
      <c r="G130">
        <v>25078</v>
      </c>
      <c r="H130">
        <v>7471</v>
      </c>
    </row>
    <row r="131" spans="1:8" x14ac:dyDescent="0.35">
      <c r="A131" s="1">
        <v>45670</v>
      </c>
      <c r="B131" t="s">
        <v>23</v>
      </c>
      <c r="C131">
        <v>3247</v>
      </c>
      <c r="D131">
        <v>328</v>
      </c>
      <c r="E131">
        <v>810061</v>
      </c>
      <c r="F131">
        <v>13.941172331466399</v>
      </c>
      <c r="G131">
        <v>15105</v>
      </c>
      <c r="H131">
        <v>2919</v>
      </c>
    </row>
    <row r="132" spans="1:8" x14ac:dyDescent="0.35">
      <c r="A132" s="1">
        <v>45670</v>
      </c>
      <c r="B132" t="s">
        <v>41</v>
      </c>
      <c r="C132">
        <v>8088</v>
      </c>
      <c r="D132">
        <v>742</v>
      </c>
      <c r="E132">
        <v>817407</v>
      </c>
      <c r="F132">
        <v>14.664542877660701</v>
      </c>
      <c r="G132">
        <v>39312</v>
      </c>
      <c r="H132">
        <v>7346</v>
      </c>
    </row>
    <row r="133" spans="1:8" x14ac:dyDescent="0.35">
      <c r="A133" s="1">
        <v>45670</v>
      </c>
      <c r="B133" t="s">
        <v>14</v>
      </c>
      <c r="C133">
        <v>1078</v>
      </c>
      <c r="D133">
        <v>77</v>
      </c>
      <c r="E133">
        <v>818408</v>
      </c>
      <c r="F133">
        <v>18.236747441373989</v>
      </c>
      <c r="G133">
        <v>12839</v>
      </c>
      <c r="H133">
        <v>1001</v>
      </c>
    </row>
    <row r="134" spans="1:8" x14ac:dyDescent="0.35">
      <c r="A134" s="1">
        <v>45677</v>
      </c>
      <c r="B134" t="s">
        <v>41</v>
      </c>
      <c r="C134">
        <v>9080</v>
      </c>
      <c r="D134">
        <v>562</v>
      </c>
      <c r="E134">
        <v>826926</v>
      </c>
      <c r="F134">
        <v>7.1083748727213809</v>
      </c>
      <c r="G134">
        <v>13384</v>
      </c>
      <c r="H134">
        <v>8518</v>
      </c>
    </row>
    <row r="135" spans="1:8" x14ac:dyDescent="0.35">
      <c r="A135" s="1">
        <v>45677</v>
      </c>
      <c r="B135" t="s">
        <v>41</v>
      </c>
      <c r="C135">
        <v>8099</v>
      </c>
      <c r="D135">
        <v>678</v>
      </c>
      <c r="E135">
        <v>834347</v>
      </c>
      <c r="F135">
        <v>7.6464588474579518</v>
      </c>
      <c r="G135">
        <v>53619</v>
      </c>
      <c r="H135">
        <v>7421</v>
      </c>
    </row>
    <row r="136" spans="1:8" x14ac:dyDescent="0.35">
      <c r="A136" s="1">
        <v>45677</v>
      </c>
      <c r="B136" t="s">
        <v>41</v>
      </c>
      <c r="C136">
        <v>4926</v>
      </c>
      <c r="D136">
        <v>710</v>
      </c>
      <c r="E136">
        <v>838563</v>
      </c>
      <c r="F136">
        <v>12.96217457722318</v>
      </c>
      <c r="G136">
        <v>52821</v>
      </c>
      <c r="H136">
        <v>4216</v>
      </c>
    </row>
    <row r="137" spans="1:8" x14ac:dyDescent="0.35">
      <c r="A137" s="1">
        <v>45677</v>
      </c>
      <c r="B137" t="s">
        <v>14</v>
      </c>
      <c r="C137">
        <v>8340</v>
      </c>
      <c r="D137">
        <v>686</v>
      </c>
      <c r="E137">
        <v>846217</v>
      </c>
      <c r="F137">
        <v>7.201344336027284</v>
      </c>
      <c r="G137">
        <v>23493</v>
      </c>
      <c r="H137">
        <v>7654</v>
      </c>
    </row>
    <row r="138" spans="1:8" x14ac:dyDescent="0.35">
      <c r="A138" s="1">
        <v>45684</v>
      </c>
      <c r="B138" t="s">
        <v>19</v>
      </c>
      <c r="C138">
        <v>8083</v>
      </c>
      <c r="D138">
        <v>823</v>
      </c>
      <c r="E138">
        <v>853477</v>
      </c>
      <c r="F138">
        <v>4.6300017457998282</v>
      </c>
      <c r="G138">
        <v>27069</v>
      </c>
      <c r="H138">
        <v>7260</v>
      </c>
    </row>
    <row r="139" spans="1:8" x14ac:dyDescent="0.35">
      <c r="A139" s="1">
        <v>45684</v>
      </c>
      <c r="B139" t="s">
        <v>41</v>
      </c>
      <c r="C139">
        <v>7230</v>
      </c>
      <c r="D139">
        <v>869</v>
      </c>
      <c r="E139">
        <v>859838</v>
      </c>
      <c r="F139">
        <v>7.0117859410726204</v>
      </c>
      <c r="G139">
        <v>56907</v>
      </c>
      <c r="H139">
        <v>6361</v>
      </c>
    </row>
    <row r="140" spans="1:8" x14ac:dyDescent="0.35">
      <c r="A140" s="1">
        <v>45684</v>
      </c>
      <c r="B140" t="s">
        <v>41</v>
      </c>
      <c r="C140">
        <v>5940</v>
      </c>
      <c r="D140">
        <v>512</v>
      </c>
      <c r="E140">
        <v>865266</v>
      </c>
      <c r="F140">
        <v>15.7972230504839</v>
      </c>
      <c r="G140">
        <v>17531</v>
      </c>
      <c r="H140">
        <v>5428</v>
      </c>
    </row>
    <row r="141" spans="1:8" x14ac:dyDescent="0.35">
      <c r="A141" s="1">
        <v>45684</v>
      </c>
      <c r="B141" t="s">
        <v>23</v>
      </c>
      <c r="C141">
        <v>4271</v>
      </c>
      <c r="D141">
        <v>628</v>
      </c>
      <c r="E141">
        <v>868909</v>
      </c>
      <c r="F141">
        <v>11.124410036033691</v>
      </c>
      <c r="G141">
        <v>47051</v>
      </c>
      <c r="H141">
        <v>3643</v>
      </c>
    </row>
    <row r="142" spans="1:8" x14ac:dyDescent="0.35">
      <c r="A142" s="1">
        <v>45691</v>
      </c>
      <c r="B142" t="s">
        <v>14</v>
      </c>
      <c r="C142">
        <v>4456</v>
      </c>
      <c r="D142">
        <v>651</v>
      </c>
      <c r="E142">
        <v>872714</v>
      </c>
      <c r="F142">
        <v>9.5052903929580594</v>
      </c>
      <c r="G142">
        <v>17736</v>
      </c>
      <c r="H142">
        <v>3805</v>
      </c>
    </row>
    <row r="143" spans="1:8" x14ac:dyDescent="0.35">
      <c r="A143" s="1">
        <v>45691</v>
      </c>
      <c r="B143" t="s">
        <v>41</v>
      </c>
      <c r="C143">
        <v>8788</v>
      </c>
      <c r="D143">
        <v>660</v>
      </c>
      <c r="E143">
        <v>880842</v>
      </c>
      <c r="F143">
        <v>3.7175793161543158</v>
      </c>
      <c r="G143">
        <v>17710</v>
      </c>
      <c r="H143">
        <v>8128</v>
      </c>
    </row>
    <row r="144" spans="1:8" x14ac:dyDescent="0.35">
      <c r="A144" s="1">
        <v>45691</v>
      </c>
      <c r="B144" t="s">
        <v>14</v>
      </c>
      <c r="C144">
        <v>9599</v>
      </c>
      <c r="D144">
        <v>957</v>
      </c>
      <c r="E144">
        <v>889484</v>
      </c>
      <c r="F144">
        <v>8.768004820772493</v>
      </c>
      <c r="G144">
        <v>11619</v>
      </c>
      <c r="H144">
        <v>8642</v>
      </c>
    </row>
    <row r="145" spans="1:8" x14ac:dyDescent="0.35">
      <c r="A145" s="1">
        <v>45691</v>
      </c>
      <c r="B145" t="s">
        <v>41</v>
      </c>
      <c r="C145">
        <v>8650</v>
      </c>
      <c r="D145">
        <v>692</v>
      </c>
      <c r="E145">
        <v>897442</v>
      </c>
      <c r="F145">
        <v>7.6673478620345374</v>
      </c>
      <c r="G145">
        <v>23975</v>
      </c>
      <c r="H145">
        <v>7958</v>
      </c>
    </row>
    <row r="146" spans="1:8" x14ac:dyDescent="0.35">
      <c r="A146" s="1">
        <v>45698</v>
      </c>
      <c r="B146" t="s">
        <v>19</v>
      </c>
      <c r="C146">
        <v>3711</v>
      </c>
      <c r="D146">
        <v>291</v>
      </c>
      <c r="E146">
        <v>900862</v>
      </c>
      <c r="F146">
        <v>14.24879726306582</v>
      </c>
      <c r="G146">
        <v>55603</v>
      </c>
      <c r="H146">
        <v>3420</v>
      </c>
    </row>
    <row r="147" spans="1:8" x14ac:dyDescent="0.35">
      <c r="A147" s="1">
        <v>45698</v>
      </c>
      <c r="B147" t="s">
        <v>19</v>
      </c>
      <c r="C147">
        <v>2668</v>
      </c>
      <c r="D147">
        <v>143</v>
      </c>
      <c r="E147">
        <v>903387</v>
      </c>
      <c r="F147">
        <v>15.903372530266649</v>
      </c>
      <c r="G147">
        <v>33252</v>
      </c>
      <c r="H147">
        <v>2525</v>
      </c>
    </row>
    <row r="148" spans="1:8" x14ac:dyDescent="0.35">
      <c r="A148" s="1">
        <v>45698</v>
      </c>
      <c r="B148" t="s">
        <v>41</v>
      </c>
      <c r="C148">
        <v>1147</v>
      </c>
      <c r="D148">
        <v>127</v>
      </c>
      <c r="E148">
        <v>904407</v>
      </c>
      <c r="F148">
        <v>1.3997016829812241</v>
      </c>
      <c r="G148">
        <v>25261</v>
      </c>
      <c r="H148">
        <v>1020</v>
      </c>
    </row>
    <row r="149" spans="1:8" x14ac:dyDescent="0.35">
      <c r="A149" s="1">
        <v>45698</v>
      </c>
      <c r="B149" t="s">
        <v>19</v>
      </c>
      <c r="C149">
        <v>7420</v>
      </c>
      <c r="D149">
        <v>743</v>
      </c>
      <c r="E149">
        <v>911084</v>
      </c>
      <c r="F149">
        <v>10.593534734448189</v>
      </c>
      <c r="G149">
        <v>11431</v>
      </c>
      <c r="H149">
        <v>6677</v>
      </c>
    </row>
    <row r="150" spans="1:8" x14ac:dyDescent="0.35">
      <c r="A150" s="1">
        <v>45705</v>
      </c>
      <c r="B150" t="s">
        <v>41</v>
      </c>
      <c r="C150">
        <v>1365</v>
      </c>
      <c r="D150">
        <v>75</v>
      </c>
      <c r="E150">
        <v>912374</v>
      </c>
      <c r="F150">
        <v>9.2688963078737441</v>
      </c>
      <c r="G150">
        <v>19067</v>
      </c>
      <c r="H150">
        <v>1290</v>
      </c>
    </row>
    <row r="151" spans="1:8" x14ac:dyDescent="0.35">
      <c r="A151" s="1">
        <v>45705</v>
      </c>
      <c r="B151" t="s">
        <v>19</v>
      </c>
      <c r="C151">
        <v>5531</v>
      </c>
      <c r="D151">
        <v>430</v>
      </c>
      <c r="E151">
        <v>917475</v>
      </c>
      <c r="F151">
        <v>2.7289026948963189</v>
      </c>
      <c r="G151">
        <v>47481</v>
      </c>
      <c r="H151">
        <v>5101</v>
      </c>
    </row>
    <row r="152" spans="1:8" x14ac:dyDescent="0.35">
      <c r="A152" s="1">
        <v>45705</v>
      </c>
      <c r="B152" t="s">
        <v>23</v>
      </c>
      <c r="C152">
        <v>6330</v>
      </c>
      <c r="D152">
        <v>891</v>
      </c>
      <c r="E152">
        <v>922914</v>
      </c>
      <c r="F152">
        <v>14.789893749580139</v>
      </c>
      <c r="G152">
        <v>37037</v>
      </c>
      <c r="H152">
        <v>5439</v>
      </c>
    </row>
    <row r="153" spans="1:8" x14ac:dyDescent="0.35">
      <c r="A153" s="1">
        <v>45705</v>
      </c>
      <c r="B153" t="s">
        <v>23</v>
      </c>
      <c r="C153">
        <v>6510</v>
      </c>
      <c r="D153">
        <v>481</v>
      </c>
      <c r="E153">
        <v>928943</v>
      </c>
      <c r="F153">
        <v>2.3800168578696428</v>
      </c>
      <c r="G153">
        <v>19557</v>
      </c>
      <c r="H153">
        <v>6029</v>
      </c>
    </row>
    <row r="154" spans="1:8" x14ac:dyDescent="0.35">
      <c r="A154" s="1">
        <v>45712</v>
      </c>
      <c r="B154" t="s">
        <v>23</v>
      </c>
      <c r="C154">
        <v>9754</v>
      </c>
      <c r="D154">
        <v>629</v>
      </c>
      <c r="E154">
        <v>938068</v>
      </c>
      <c r="F154">
        <v>3.4123325814333292</v>
      </c>
      <c r="G154">
        <v>19435</v>
      </c>
      <c r="H154">
        <v>9125</v>
      </c>
    </row>
    <row r="155" spans="1:8" x14ac:dyDescent="0.35">
      <c r="A155" s="1">
        <v>45712</v>
      </c>
      <c r="B155" t="s">
        <v>14</v>
      </c>
      <c r="C155">
        <v>9964</v>
      </c>
      <c r="D155">
        <v>985</v>
      </c>
      <c r="E155">
        <v>947047</v>
      </c>
      <c r="F155">
        <v>1.9837452629066989</v>
      </c>
      <c r="G155">
        <v>47766</v>
      </c>
      <c r="H155">
        <v>8979</v>
      </c>
    </row>
    <row r="156" spans="1:8" x14ac:dyDescent="0.35">
      <c r="A156" s="1">
        <v>45712</v>
      </c>
      <c r="B156" t="s">
        <v>14</v>
      </c>
      <c r="C156">
        <v>7493</v>
      </c>
      <c r="D156">
        <v>1113</v>
      </c>
      <c r="E156">
        <v>953427</v>
      </c>
      <c r="F156">
        <v>15.684892498324469</v>
      </c>
      <c r="G156">
        <v>10162</v>
      </c>
      <c r="H156">
        <v>6380</v>
      </c>
    </row>
    <row r="157" spans="1:8" x14ac:dyDescent="0.35">
      <c r="A157" s="1">
        <v>45712</v>
      </c>
      <c r="B157" t="s">
        <v>23</v>
      </c>
      <c r="C157">
        <v>6439</v>
      </c>
      <c r="D157">
        <v>477</v>
      </c>
      <c r="E157">
        <v>959389</v>
      </c>
      <c r="F157">
        <v>7.4744446725989153</v>
      </c>
      <c r="G157">
        <v>44742</v>
      </c>
      <c r="H157">
        <v>5962</v>
      </c>
    </row>
    <row r="158" spans="1:8" x14ac:dyDescent="0.35">
      <c r="A158" s="1">
        <v>45719</v>
      </c>
      <c r="B158" t="s">
        <v>14</v>
      </c>
      <c r="C158">
        <v>7511</v>
      </c>
      <c r="D158">
        <v>880</v>
      </c>
      <c r="E158">
        <v>966020</v>
      </c>
      <c r="F158">
        <v>4.6083932009689246</v>
      </c>
      <c r="G158">
        <v>29675</v>
      </c>
      <c r="H158">
        <v>6631</v>
      </c>
    </row>
    <row r="159" spans="1:8" x14ac:dyDescent="0.35">
      <c r="A159" s="1">
        <v>45719</v>
      </c>
      <c r="B159" t="s">
        <v>19</v>
      </c>
      <c r="C159">
        <v>8504</v>
      </c>
      <c r="D159">
        <v>1072</v>
      </c>
      <c r="E159">
        <v>973452</v>
      </c>
      <c r="F159">
        <v>6.5651927367759271</v>
      </c>
      <c r="G159">
        <v>18461</v>
      </c>
      <c r="H159">
        <v>7432</v>
      </c>
    </row>
    <row r="160" spans="1:8" x14ac:dyDescent="0.35">
      <c r="A160" s="1">
        <v>45719</v>
      </c>
      <c r="B160" t="s">
        <v>41</v>
      </c>
      <c r="C160">
        <v>2246</v>
      </c>
      <c r="D160">
        <v>165</v>
      </c>
      <c r="E160">
        <v>975533</v>
      </c>
      <c r="F160">
        <v>2.9062061457685191</v>
      </c>
      <c r="G160">
        <v>27015</v>
      </c>
      <c r="H160">
        <v>2081</v>
      </c>
    </row>
    <row r="161" spans="1:8" x14ac:dyDescent="0.35">
      <c r="A161" s="1">
        <v>45719</v>
      </c>
      <c r="B161" t="s">
        <v>41</v>
      </c>
      <c r="C161">
        <v>4839</v>
      </c>
      <c r="D161">
        <v>594</v>
      </c>
      <c r="E161">
        <v>979778</v>
      </c>
      <c r="F161">
        <v>2.5803804535313102</v>
      </c>
      <c r="G161">
        <v>42591</v>
      </c>
      <c r="H161">
        <v>4245</v>
      </c>
    </row>
    <row r="162" spans="1:8" x14ac:dyDescent="0.35">
      <c r="A162" s="1">
        <v>45726</v>
      </c>
      <c r="B162" t="s">
        <v>41</v>
      </c>
      <c r="C162">
        <v>9551</v>
      </c>
      <c r="D162">
        <v>828</v>
      </c>
      <c r="E162">
        <v>988501</v>
      </c>
      <c r="F162">
        <v>1.525036393488727</v>
      </c>
      <c r="G162">
        <v>38047</v>
      </c>
      <c r="H162">
        <v>8723</v>
      </c>
    </row>
    <row r="163" spans="1:8" x14ac:dyDescent="0.35">
      <c r="A163" s="1">
        <v>45726</v>
      </c>
      <c r="B163" t="s">
        <v>23</v>
      </c>
      <c r="C163">
        <v>3376</v>
      </c>
      <c r="D163">
        <v>382</v>
      </c>
      <c r="E163">
        <v>991495</v>
      </c>
      <c r="F163">
        <v>3.8694093263203548</v>
      </c>
      <c r="G163">
        <v>44782</v>
      </c>
      <c r="H163">
        <v>2994</v>
      </c>
    </row>
    <row r="164" spans="1:8" x14ac:dyDescent="0.35">
      <c r="A164" s="1">
        <v>45726</v>
      </c>
      <c r="B164" t="s">
        <v>14</v>
      </c>
      <c r="C164">
        <v>4009</v>
      </c>
      <c r="D164">
        <v>454</v>
      </c>
      <c r="E164">
        <v>995050</v>
      </c>
      <c r="F164">
        <v>2.1106477061454201</v>
      </c>
      <c r="G164">
        <v>19833</v>
      </c>
      <c r="H164">
        <v>3555</v>
      </c>
    </row>
    <row r="165" spans="1:8" x14ac:dyDescent="0.35">
      <c r="A165" s="1">
        <v>45726</v>
      </c>
      <c r="B165" t="s">
        <v>19</v>
      </c>
      <c r="C165">
        <v>2827</v>
      </c>
      <c r="D165">
        <v>292</v>
      </c>
      <c r="E165">
        <v>997585</v>
      </c>
      <c r="F165">
        <v>2.4004972007397871</v>
      </c>
      <c r="G165">
        <v>17896</v>
      </c>
      <c r="H165">
        <v>2535</v>
      </c>
    </row>
    <row r="166" spans="1:8" x14ac:dyDescent="0.35">
      <c r="A166" s="1">
        <v>45733</v>
      </c>
      <c r="B166" t="s">
        <v>19</v>
      </c>
      <c r="C166">
        <v>7979</v>
      </c>
      <c r="D166">
        <v>470</v>
      </c>
      <c r="E166">
        <v>1005094</v>
      </c>
      <c r="F166">
        <v>10.43086517280971</v>
      </c>
      <c r="G166">
        <v>42972</v>
      </c>
      <c r="H166">
        <v>7509</v>
      </c>
    </row>
    <row r="167" spans="1:8" x14ac:dyDescent="0.35">
      <c r="A167" s="1">
        <v>45733</v>
      </c>
      <c r="B167" t="s">
        <v>23</v>
      </c>
      <c r="C167">
        <v>9569</v>
      </c>
      <c r="D167">
        <v>1277</v>
      </c>
      <c r="E167">
        <v>1013386</v>
      </c>
      <c r="F167">
        <v>12.45517502708741</v>
      </c>
      <c r="G167">
        <v>59733</v>
      </c>
      <c r="H167">
        <v>8292</v>
      </c>
    </row>
    <row r="168" spans="1:8" x14ac:dyDescent="0.35">
      <c r="A168" s="1">
        <v>45733</v>
      </c>
      <c r="B168" t="s">
        <v>19</v>
      </c>
      <c r="C168">
        <v>5285</v>
      </c>
      <c r="D168">
        <v>433</v>
      </c>
      <c r="E168">
        <v>1018238</v>
      </c>
      <c r="F168">
        <v>8.7022876773406619</v>
      </c>
      <c r="G168">
        <v>51800</v>
      </c>
      <c r="H168">
        <v>4852</v>
      </c>
    </row>
    <row r="169" spans="1:8" x14ac:dyDescent="0.35">
      <c r="A169" s="1">
        <v>45733</v>
      </c>
      <c r="B169" t="s">
        <v>19</v>
      </c>
      <c r="C169">
        <v>7910</v>
      </c>
      <c r="D169">
        <v>543</v>
      </c>
      <c r="E169">
        <v>1025605</v>
      </c>
      <c r="F169">
        <v>6.0590578244060822</v>
      </c>
      <c r="G169">
        <v>40508</v>
      </c>
      <c r="H169">
        <v>7367</v>
      </c>
    </row>
    <row r="170" spans="1:8" x14ac:dyDescent="0.35">
      <c r="A170" s="1">
        <v>45740</v>
      </c>
      <c r="B170" t="s">
        <v>19</v>
      </c>
      <c r="C170">
        <v>9561</v>
      </c>
      <c r="D170">
        <v>517</v>
      </c>
      <c r="E170">
        <v>1034649</v>
      </c>
      <c r="F170">
        <v>6.4086467971263694</v>
      </c>
      <c r="G170">
        <v>15347</v>
      </c>
      <c r="H170">
        <v>9044</v>
      </c>
    </row>
    <row r="171" spans="1:8" x14ac:dyDescent="0.35">
      <c r="A171" s="1">
        <v>45740</v>
      </c>
      <c r="B171" t="s">
        <v>19</v>
      </c>
      <c r="C171">
        <v>3196</v>
      </c>
      <c r="D171">
        <v>348</v>
      </c>
      <c r="E171">
        <v>1037497</v>
      </c>
      <c r="F171">
        <v>14.03040201562029</v>
      </c>
      <c r="G171">
        <v>40314</v>
      </c>
      <c r="H171">
        <v>2848</v>
      </c>
    </row>
    <row r="172" spans="1:8" x14ac:dyDescent="0.35">
      <c r="A172" s="1">
        <v>45740</v>
      </c>
      <c r="B172" t="s">
        <v>14</v>
      </c>
      <c r="C172">
        <v>4747</v>
      </c>
      <c r="D172">
        <v>558</v>
      </c>
      <c r="E172">
        <v>1041686</v>
      </c>
      <c r="F172">
        <v>5.7680529449373434</v>
      </c>
      <c r="G172">
        <v>12643</v>
      </c>
      <c r="H172">
        <v>4189</v>
      </c>
    </row>
    <row r="173" spans="1:8" x14ac:dyDescent="0.35">
      <c r="A173" s="1">
        <v>45740</v>
      </c>
      <c r="B173" t="s">
        <v>19</v>
      </c>
      <c r="C173">
        <v>9843</v>
      </c>
      <c r="D173">
        <v>508</v>
      </c>
      <c r="E173">
        <v>1051021</v>
      </c>
      <c r="F173">
        <v>4.2080986012648651</v>
      </c>
      <c r="G173">
        <v>50785</v>
      </c>
      <c r="H173">
        <v>9335</v>
      </c>
    </row>
    <row r="174" spans="1:8" x14ac:dyDescent="0.35">
      <c r="A174" s="1">
        <v>45747</v>
      </c>
      <c r="B174" t="s">
        <v>41</v>
      </c>
      <c r="C174">
        <v>6978</v>
      </c>
      <c r="D174">
        <v>706</v>
      </c>
      <c r="E174">
        <v>1057293</v>
      </c>
      <c r="F174">
        <v>5.057443868445171</v>
      </c>
      <c r="G174">
        <v>28681</v>
      </c>
      <c r="H174">
        <v>6272</v>
      </c>
    </row>
    <row r="175" spans="1:8" x14ac:dyDescent="0.35">
      <c r="A175" s="1">
        <v>45747</v>
      </c>
      <c r="B175" t="s">
        <v>23</v>
      </c>
      <c r="C175">
        <v>6607</v>
      </c>
      <c r="D175">
        <v>479</v>
      </c>
      <c r="E175">
        <v>1063421</v>
      </c>
      <c r="F175">
        <v>5.5892257158735816</v>
      </c>
      <c r="G175">
        <v>48328</v>
      </c>
      <c r="H175">
        <v>6128</v>
      </c>
    </row>
    <row r="176" spans="1:8" x14ac:dyDescent="0.35">
      <c r="A176" s="1">
        <v>45747</v>
      </c>
      <c r="B176" t="s">
        <v>14</v>
      </c>
      <c r="C176">
        <v>1769</v>
      </c>
      <c r="D176">
        <v>202</v>
      </c>
      <c r="E176">
        <v>1064988</v>
      </c>
      <c r="F176">
        <v>6.5457075572682513</v>
      </c>
      <c r="G176">
        <v>25892</v>
      </c>
      <c r="H176">
        <v>1567</v>
      </c>
    </row>
    <row r="177" spans="1:8" x14ac:dyDescent="0.35">
      <c r="A177" s="1">
        <v>45747</v>
      </c>
      <c r="B177" t="s">
        <v>19</v>
      </c>
      <c r="C177">
        <v>1780</v>
      </c>
      <c r="D177">
        <v>120</v>
      </c>
      <c r="E177">
        <v>1066648</v>
      </c>
      <c r="F177">
        <v>13.86474263299608</v>
      </c>
      <c r="G177">
        <v>57299</v>
      </c>
      <c r="H177">
        <v>1660</v>
      </c>
    </row>
    <row r="178" spans="1:8" x14ac:dyDescent="0.35">
      <c r="A178" s="1">
        <v>45754</v>
      </c>
      <c r="B178" t="s">
        <v>14</v>
      </c>
      <c r="C178">
        <v>7303</v>
      </c>
      <c r="D178">
        <v>869</v>
      </c>
      <c r="E178">
        <v>1073082</v>
      </c>
      <c r="F178">
        <v>8.1237966902808925</v>
      </c>
      <c r="G178">
        <v>27073</v>
      </c>
      <c r="H178">
        <v>6434</v>
      </c>
    </row>
    <row r="179" spans="1:8" x14ac:dyDescent="0.35">
      <c r="A179" s="1">
        <v>45754</v>
      </c>
      <c r="B179" t="s">
        <v>19</v>
      </c>
      <c r="C179">
        <v>4983</v>
      </c>
      <c r="D179">
        <v>441</v>
      </c>
      <c r="E179">
        <v>1077624</v>
      </c>
      <c r="F179">
        <v>6.8954477628560609</v>
      </c>
      <c r="G179">
        <v>46768</v>
      </c>
      <c r="H179">
        <v>4542</v>
      </c>
    </row>
    <row r="180" spans="1:8" x14ac:dyDescent="0.35">
      <c r="A180" s="1">
        <v>45754</v>
      </c>
      <c r="B180" t="s">
        <v>41</v>
      </c>
      <c r="C180">
        <v>9714</v>
      </c>
      <c r="D180">
        <v>1395</v>
      </c>
      <c r="E180">
        <v>1085943</v>
      </c>
      <c r="F180">
        <v>5.2243073531483697</v>
      </c>
      <c r="G180">
        <v>40682</v>
      </c>
      <c r="H180">
        <v>8319</v>
      </c>
    </row>
    <row r="181" spans="1:8" x14ac:dyDescent="0.35">
      <c r="A181" s="1">
        <v>45754</v>
      </c>
      <c r="B181" t="s">
        <v>23</v>
      </c>
      <c r="C181">
        <v>1521</v>
      </c>
      <c r="D181">
        <v>96</v>
      </c>
      <c r="E181">
        <v>1087368</v>
      </c>
      <c r="F181">
        <v>12.709772588488899</v>
      </c>
      <c r="G181">
        <v>42262</v>
      </c>
      <c r="H181">
        <v>1425</v>
      </c>
    </row>
    <row r="182" spans="1:8" x14ac:dyDescent="0.35">
      <c r="A182" s="1">
        <v>45761</v>
      </c>
      <c r="B182" t="s">
        <v>19</v>
      </c>
      <c r="C182">
        <v>8569</v>
      </c>
      <c r="D182">
        <v>720</v>
      </c>
      <c r="E182">
        <v>1095217</v>
      </c>
      <c r="F182">
        <v>9.589697749395782</v>
      </c>
      <c r="G182">
        <v>41358</v>
      </c>
      <c r="H182">
        <v>7849</v>
      </c>
    </row>
    <row r="183" spans="1:8" x14ac:dyDescent="0.35">
      <c r="A183" s="1">
        <v>45761</v>
      </c>
      <c r="B183" t="s">
        <v>19</v>
      </c>
      <c r="C183">
        <v>6784</v>
      </c>
      <c r="D183">
        <v>416</v>
      </c>
      <c r="E183">
        <v>1101585</v>
      </c>
      <c r="F183">
        <v>9.3041390360253633</v>
      </c>
      <c r="G183">
        <v>24289</v>
      </c>
      <c r="H183">
        <v>6368</v>
      </c>
    </row>
    <row r="184" spans="1:8" x14ac:dyDescent="0.35">
      <c r="A184" s="1">
        <v>45761</v>
      </c>
      <c r="B184" t="s">
        <v>19</v>
      </c>
      <c r="C184">
        <v>5583</v>
      </c>
      <c r="D184">
        <v>795</v>
      </c>
      <c r="E184">
        <v>1106373</v>
      </c>
      <c r="F184">
        <v>12.21550055903389</v>
      </c>
      <c r="G184">
        <v>59823</v>
      </c>
      <c r="H184">
        <v>4788</v>
      </c>
    </row>
    <row r="185" spans="1:8" x14ac:dyDescent="0.35">
      <c r="A185" s="1">
        <v>45761</v>
      </c>
      <c r="B185" t="s">
        <v>19</v>
      </c>
      <c r="C185">
        <v>6946</v>
      </c>
      <c r="D185">
        <v>956</v>
      </c>
      <c r="E185">
        <v>1112363</v>
      </c>
      <c r="F185">
        <v>1.64146056637986</v>
      </c>
      <c r="G185">
        <v>17927</v>
      </c>
      <c r="H185">
        <v>5990</v>
      </c>
    </row>
    <row r="186" spans="1:8" x14ac:dyDescent="0.35">
      <c r="A186" s="1">
        <v>45768</v>
      </c>
      <c r="B186" t="s">
        <v>23</v>
      </c>
      <c r="C186">
        <v>5941</v>
      </c>
      <c r="D186">
        <v>450</v>
      </c>
      <c r="E186">
        <v>1117854</v>
      </c>
      <c r="F186">
        <v>12.414411899944</v>
      </c>
      <c r="G186">
        <v>58330</v>
      </c>
      <c r="H186">
        <v>5491</v>
      </c>
    </row>
    <row r="187" spans="1:8" x14ac:dyDescent="0.35">
      <c r="A187" s="1">
        <v>45768</v>
      </c>
      <c r="B187" t="s">
        <v>23</v>
      </c>
      <c r="C187">
        <v>7267</v>
      </c>
      <c r="D187">
        <v>842</v>
      </c>
      <c r="E187">
        <v>1124279</v>
      </c>
      <c r="F187">
        <v>2.2102165031989389</v>
      </c>
      <c r="G187">
        <v>11171</v>
      </c>
      <c r="H187">
        <v>6425</v>
      </c>
    </row>
    <row r="188" spans="1:8" x14ac:dyDescent="0.35">
      <c r="A188" s="1">
        <v>45768</v>
      </c>
      <c r="B188" t="s">
        <v>41</v>
      </c>
      <c r="C188">
        <v>8128</v>
      </c>
      <c r="D188">
        <v>1070</v>
      </c>
      <c r="E188">
        <v>1131337</v>
      </c>
      <c r="F188">
        <v>8.1114645768679008</v>
      </c>
      <c r="G188">
        <v>21918</v>
      </c>
      <c r="H188">
        <v>7058</v>
      </c>
    </row>
    <row r="189" spans="1:8" x14ac:dyDescent="0.35">
      <c r="A189" s="1">
        <v>45768</v>
      </c>
      <c r="B189" t="s">
        <v>23</v>
      </c>
      <c r="C189">
        <v>3461</v>
      </c>
      <c r="D189">
        <v>365</v>
      </c>
      <c r="E189">
        <v>1134433</v>
      </c>
      <c r="F189">
        <v>10.23489267325616</v>
      </c>
      <c r="G189">
        <v>51903</v>
      </c>
      <c r="H189">
        <v>3096</v>
      </c>
    </row>
    <row r="190" spans="1:8" x14ac:dyDescent="0.35">
      <c r="A190" s="1">
        <v>45775</v>
      </c>
      <c r="B190" t="s">
        <v>19</v>
      </c>
      <c r="C190">
        <v>1685</v>
      </c>
      <c r="D190">
        <v>173</v>
      </c>
      <c r="E190">
        <v>1135945</v>
      </c>
      <c r="F190">
        <v>8.7776256772995165</v>
      </c>
      <c r="G190">
        <v>49110</v>
      </c>
      <c r="H190">
        <v>1512</v>
      </c>
    </row>
    <row r="191" spans="1:8" x14ac:dyDescent="0.35">
      <c r="A191" s="1">
        <v>45775</v>
      </c>
      <c r="B191" t="s">
        <v>41</v>
      </c>
      <c r="C191">
        <v>3160</v>
      </c>
      <c r="D191">
        <v>234</v>
      </c>
      <c r="E191">
        <v>1138871</v>
      </c>
      <c r="F191">
        <v>5.6959041015180816</v>
      </c>
      <c r="G191">
        <v>21929</v>
      </c>
      <c r="H191">
        <v>2926</v>
      </c>
    </row>
    <row r="192" spans="1:8" x14ac:dyDescent="0.35">
      <c r="A192" s="1">
        <v>45775</v>
      </c>
      <c r="B192" t="s">
        <v>41</v>
      </c>
      <c r="C192">
        <v>8031</v>
      </c>
      <c r="D192">
        <v>476</v>
      </c>
      <c r="E192">
        <v>1146426</v>
      </c>
      <c r="F192">
        <v>11.940413075069831</v>
      </c>
      <c r="G192">
        <v>12539</v>
      </c>
      <c r="H192">
        <v>7555</v>
      </c>
    </row>
    <row r="193" spans="1:8" x14ac:dyDescent="0.35">
      <c r="A193" s="1">
        <v>45775</v>
      </c>
      <c r="B193" t="s">
        <v>41</v>
      </c>
      <c r="C193">
        <v>6341</v>
      </c>
      <c r="D193">
        <v>885</v>
      </c>
      <c r="E193">
        <v>1151882</v>
      </c>
      <c r="F193">
        <v>6.3457020771224837</v>
      </c>
      <c r="G193">
        <v>46727</v>
      </c>
      <c r="H193">
        <v>5456</v>
      </c>
    </row>
    <row r="194" spans="1:8" x14ac:dyDescent="0.35">
      <c r="A194" s="1">
        <v>45782</v>
      </c>
      <c r="B194" t="s">
        <v>19</v>
      </c>
      <c r="C194">
        <v>1038</v>
      </c>
      <c r="D194">
        <v>145</v>
      </c>
      <c r="E194">
        <v>1152775</v>
      </c>
      <c r="F194">
        <v>11.093752033137431</v>
      </c>
      <c r="G194">
        <v>55951</v>
      </c>
      <c r="H194">
        <v>893</v>
      </c>
    </row>
    <row r="195" spans="1:8" x14ac:dyDescent="0.35">
      <c r="A195" s="1">
        <v>45782</v>
      </c>
      <c r="B195" t="s">
        <v>14</v>
      </c>
      <c r="C195">
        <v>5875</v>
      </c>
      <c r="D195">
        <v>665</v>
      </c>
      <c r="E195">
        <v>1157985</v>
      </c>
      <c r="F195">
        <v>6.9871371390821126</v>
      </c>
      <c r="G195">
        <v>32669</v>
      </c>
      <c r="H195">
        <v>5210</v>
      </c>
    </row>
    <row r="196" spans="1:8" x14ac:dyDescent="0.35">
      <c r="A196" s="1">
        <v>45782</v>
      </c>
      <c r="B196" t="s">
        <v>19</v>
      </c>
      <c r="C196">
        <v>2256</v>
      </c>
      <c r="D196">
        <v>189</v>
      </c>
      <c r="E196">
        <v>1160052</v>
      </c>
      <c r="F196">
        <v>2.8935771844710412</v>
      </c>
      <c r="G196">
        <v>15432</v>
      </c>
      <c r="H196">
        <v>2067</v>
      </c>
    </row>
    <row r="197" spans="1:8" x14ac:dyDescent="0.35">
      <c r="A197" s="1">
        <v>45782</v>
      </c>
      <c r="B197" t="s">
        <v>23</v>
      </c>
      <c r="C197">
        <v>8697</v>
      </c>
      <c r="D197">
        <v>738</v>
      </c>
      <c r="E197">
        <v>1168011</v>
      </c>
      <c r="F197">
        <v>3.8777032065622672</v>
      </c>
      <c r="G197">
        <v>30644</v>
      </c>
      <c r="H197">
        <v>7959</v>
      </c>
    </row>
    <row r="198" spans="1:8" x14ac:dyDescent="0.35">
      <c r="A198" s="1">
        <v>45789</v>
      </c>
      <c r="B198" t="s">
        <v>23</v>
      </c>
      <c r="C198">
        <v>3196</v>
      </c>
      <c r="D198">
        <v>391</v>
      </c>
      <c r="E198">
        <v>1170816</v>
      </c>
      <c r="F198">
        <v>7.2439221876024931</v>
      </c>
      <c r="G198">
        <v>28745</v>
      </c>
      <c r="H198">
        <v>2805</v>
      </c>
    </row>
    <row r="199" spans="1:8" x14ac:dyDescent="0.35">
      <c r="A199" s="1">
        <v>45789</v>
      </c>
      <c r="B199" t="s">
        <v>19</v>
      </c>
      <c r="C199">
        <v>8165</v>
      </c>
      <c r="D199">
        <v>1140</v>
      </c>
      <c r="E199">
        <v>1177841</v>
      </c>
      <c r="F199">
        <v>9.095964565675672</v>
      </c>
      <c r="G199">
        <v>38228</v>
      </c>
      <c r="H199">
        <v>7025</v>
      </c>
    </row>
    <row r="200" spans="1:8" x14ac:dyDescent="0.35">
      <c r="A200" s="1">
        <v>45789</v>
      </c>
      <c r="B200" t="s">
        <v>19</v>
      </c>
      <c r="C200">
        <v>1301</v>
      </c>
      <c r="D200">
        <v>180</v>
      </c>
      <c r="E200">
        <v>1178962</v>
      </c>
      <c r="F200">
        <v>5.2275645864752214</v>
      </c>
      <c r="G200">
        <v>44521</v>
      </c>
      <c r="H200">
        <v>1121</v>
      </c>
    </row>
    <row r="201" spans="1:8" x14ac:dyDescent="0.35">
      <c r="A201" s="1">
        <v>45789</v>
      </c>
      <c r="B201" t="s">
        <v>41</v>
      </c>
      <c r="C201">
        <v>8527</v>
      </c>
      <c r="D201">
        <v>1091</v>
      </c>
      <c r="E201">
        <v>1186398</v>
      </c>
      <c r="F201">
        <v>1.676081719625286</v>
      </c>
      <c r="G201">
        <v>41703</v>
      </c>
      <c r="H201">
        <v>7436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E31B-4C1D-44F2-8FCC-C5C262F9C1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1A76A-EBE0-4F39-94B8-7EBE0F1705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5.1.1</vt:lpstr>
      <vt:lpstr>Task 5.1.2</vt:lpstr>
      <vt:lpstr>task 5.2.1</vt:lpstr>
      <vt:lpstr>task 5.2.2</vt:lpstr>
      <vt:lpstr>Posts</vt:lpstr>
      <vt:lpstr>Engagement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2025-12-17T15:15:55Z</dcterms:created>
  <dcterms:modified xsi:type="dcterms:W3CDTF">2025-12-18T16:12:02Z</dcterms:modified>
</cp:coreProperties>
</file>